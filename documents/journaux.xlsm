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B14AB5D0-148D-4DD8-9F1F-0093566DA701}"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7" l="1"/>
  <c r="B9" i="8"/>
  <c r="B9" i="1"/>
  <c r="B10" i="1"/>
  <c r="B11" i="1"/>
  <c r="B12" i="1"/>
  <c r="B16" i="1"/>
  <c r="B13" i="1"/>
  <c r="B14" i="1"/>
  <c r="B15" i="1"/>
  <c r="B17" i="1"/>
  <c r="B18" i="1" l="1"/>
  <c r="B10" i="7"/>
  <c r="B19" i="1"/>
  <c r="B20" i="1"/>
  <c r="B21" i="1"/>
  <c r="B22" i="1"/>
  <c r="B23" i="1"/>
  <c r="B24" i="1"/>
  <c r="B25" i="1"/>
  <c r="B26" i="1"/>
  <c r="B27" i="1"/>
  <c r="B28" i="1"/>
  <c r="B29" i="1"/>
  <c r="B11" i="8"/>
  <c r="B10" i="8"/>
  <c r="B30" i="1"/>
  <c r="B31" i="1"/>
  <c r="B32" i="1"/>
</calcChain>
</file>

<file path=xl/sharedStrings.xml><?xml version="1.0" encoding="utf-8"?>
<sst xmlns="http://schemas.openxmlformats.org/spreadsheetml/2006/main" count="110" uniqueCount="56">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</sst>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46"/>
  <sheetViews>
    <sheetView tabSelected="1" zoomScaleNormal="100" workbookViewId="0">
      <selection activeCell="F10" sqref="F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13</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45055</v>
      </c>
      <c r="B9" s="16">
        <f t="shared" ref="B9" si="0">WEEKNUM(A9)</f>
        <v>19</v>
      </c>
      <c r="C9" s="9">
        <v>0</v>
      </c>
      <c r="D9" s="29" t="s">
        <v>6</v>
      </c>
      <c r="E9" s="11"/>
      <c r="F9" s="11"/>
      <c r="I9" s="12"/>
    </row>
    <row r="10" spans="1:9" ht="30" x14ac:dyDescent="0.25">
      <c r="A10" s="4">
        <v>45055</v>
      </c>
      <c r="B10" s="16">
        <f t="shared" ref="B10" si="1">WEEKNUM(A10)</f>
        <v>19</v>
      </c>
      <c r="C10" s="9">
        <v>1</v>
      </c>
      <c r="D10" s="29" t="s">
        <v>6</v>
      </c>
      <c r="E10" s="11" t="s">
        <v>49</v>
      </c>
      <c r="F10" s="11"/>
      <c r="I10" s="12"/>
    </row>
    <row r="11" spans="1:9" ht="30" x14ac:dyDescent="0.25">
      <c r="A11" s="4">
        <v>45055</v>
      </c>
      <c r="B11" s="16">
        <f t="shared" ref="B11" si="2">WEEKNUM(A11)</f>
        <v>19</v>
      </c>
      <c r="C11" s="9">
        <v>0.75</v>
      </c>
      <c r="D11" s="29" t="s">
        <v>10</v>
      </c>
      <c r="E11" s="11" t="s">
        <v>50</v>
      </c>
      <c r="F11" s="11"/>
      <c r="I11" s="12"/>
    </row>
    <row r="12" spans="1:9" ht="45" x14ac:dyDescent="0.25">
      <c r="A12" s="4">
        <v>45055</v>
      </c>
      <c r="B12" s="16">
        <f t="shared" ref="B12" si="3">WEEKNUM(A12)</f>
        <v>19</v>
      </c>
      <c r="C12" s="9">
        <v>1.5</v>
      </c>
      <c r="D12" s="29" t="s">
        <v>8</v>
      </c>
      <c r="E12" s="11" t="s">
        <v>51</v>
      </c>
      <c r="F12" s="11"/>
      <c r="I12" s="12"/>
    </row>
    <row r="13" spans="1:9" ht="30" x14ac:dyDescent="0.25">
      <c r="A13" s="4">
        <v>45055</v>
      </c>
      <c r="B13" s="16">
        <f t="shared" ref="B13" si="4">WEEKNUM(A13)</f>
        <v>19</v>
      </c>
      <c r="C13" s="9">
        <v>0.75</v>
      </c>
      <c r="D13" s="29" t="s">
        <v>8</v>
      </c>
      <c r="E13" s="11" t="s">
        <v>52</v>
      </c>
      <c r="F13" s="11"/>
      <c r="I13" s="12"/>
    </row>
    <row r="14" spans="1:9" x14ac:dyDescent="0.25">
      <c r="A14" s="4">
        <v>45054</v>
      </c>
      <c r="B14" s="16">
        <f t="shared" ref="B14" si="5">WEEKNUM(A14)</f>
        <v>19</v>
      </c>
      <c r="C14" s="9">
        <v>1.3</v>
      </c>
      <c r="D14" s="29" t="s">
        <v>6</v>
      </c>
      <c r="E14" s="11" t="s">
        <v>48</v>
      </c>
      <c r="F14" s="11"/>
      <c r="I14" s="12"/>
    </row>
    <row r="15" spans="1:9" ht="75" x14ac:dyDescent="0.25">
      <c r="A15" s="4">
        <v>45054</v>
      </c>
      <c r="B15" s="16">
        <f t="shared" ref="B15" si="6">WEEKNUM(A15)</f>
        <v>19</v>
      </c>
      <c r="C15" s="9">
        <v>4.5</v>
      </c>
      <c r="D15" s="29" t="s">
        <v>6</v>
      </c>
      <c r="E15" s="11" t="s">
        <v>46</v>
      </c>
      <c r="F15" s="11" t="s">
        <v>47</v>
      </c>
      <c r="I15" s="12"/>
    </row>
    <row r="16" spans="1:9" x14ac:dyDescent="0.25">
      <c r="A16" s="4">
        <v>45054</v>
      </c>
      <c r="B16" s="16">
        <f>WEEKNUM(A16)</f>
        <v>19</v>
      </c>
      <c r="C16" s="9">
        <v>0.45</v>
      </c>
      <c r="D16" s="29" t="s">
        <v>6</v>
      </c>
      <c r="E16" s="11" t="s">
        <v>45</v>
      </c>
      <c r="F16" s="11"/>
      <c r="I16" s="12"/>
    </row>
    <row r="17" spans="1:9" x14ac:dyDescent="0.25">
      <c r="A17" s="4">
        <v>45051</v>
      </c>
      <c r="B17" s="16">
        <f t="shared" ref="B17" si="7">WEEKNUM(A17)</f>
        <v>18</v>
      </c>
      <c r="C17" s="9">
        <v>1.25</v>
      </c>
      <c r="D17" s="29" t="s">
        <v>10</v>
      </c>
      <c r="E17" s="11" t="s">
        <v>44</v>
      </c>
      <c r="F17" s="11"/>
      <c r="I17" s="12"/>
    </row>
    <row r="18" spans="1:9" ht="30" x14ac:dyDescent="0.25">
      <c r="A18" s="4">
        <v>45051</v>
      </c>
      <c r="B18" s="16">
        <f t="shared" ref="B18" si="8">WEEKNUM(A18)</f>
        <v>18</v>
      </c>
      <c r="C18" s="9">
        <v>1.75</v>
      </c>
      <c r="D18" s="29" t="s">
        <v>6</v>
      </c>
      <c r="E18" s="11" t="s">
        <v>43</v>
      </c>
      <c r="F18" s="11"/>
      <c r="I18" s="12"/>
    </row>
    <row r="19" spans="1:9" ht="30" x14ac:dyDescent="0.25">
      <c r="A19" s="4">
        <v>45051</v>
      </c>
      <c r="B19" s="16">
        <f t="shared" ref="B19" si="9">WEEKNUM(A19)</f>
        <v>18</v>
      </c>
      <c r="C19" s="9">
        <v>0.75</v>
      </c>
      <c r="D19" s="29" t="s">
        <v>12</v>
      </c>
      <c r="E19" s="11" t="s">
        <v>40</v>
      </c>
      <c r="F19" s="11"/>
      <c r="I19" s="12"/>
    </row>
    <row r="20" spans="1:9" ht="60" x14ac:dyDescent="0.25">
      <c r="A20" s="4">
        <v>45051</v>
      </c>
      <c r="B20" s="16">
        <f t="shared" ref="B20" si="10">WEEKNUM(A20)</f>
        <v>18</v>
      </c>
      <c r="C20" s="9">
        <v>1.5</v>
      </c>
      <c r="D20" s="29" t="s">
        <v>8</v>
      </c>
      <c r="E20" s="11" t="s">
        <v>42</v>
      </c>
      <c r="F20" s="11" t="s">
        <v>41</v>
      </c>
      <c r="I20" s="12"/>
    </row>
    <row r="21" spans="1:9" x14ac:dyDescent="0.25">
      <c r="A21" s="4">
        <v>45050</v>
      </c>
      <c r="B21" s="16">
        <f t="shared" ref="B21" si="11">WEEKNUM(A21)</f>
        <v>18</v>
      </c>
      <c r="C21" s="9">
        <v>0.75</v>
      </c>
      <c r="D21" s="29" t="s">
        <v>6</v>
      </c>
      <c r="E21" s="11" t="s">
        <v>39</v>
      </c>
      <c r="F21" s="11"/>
      <c r="I21" s="12"/>
    </row>
    <row r="22" spans="1:9" x14ac:dyDescent="0.25">
      <c r="A22" s="4">
        <v>45050</v>
      </c>
      <c r="B22" s="16">
        <f t="shared" ref="B22" si="12">WEEKNUM(A22)</f>
        <v>18</v>
      </c>
      <c r="C22" s="9">
        <v>1.31</v>
      </c>
      <c r="D22" s="29" t="s">
        <v>8</v>
      </c>
      <c r="E22" s="11" t="s">
        <v>38</v>
      </c>
      <c r="F22" s="11"/>
      <c r="I22" s="12"/>
    </row>
    <row r="23" spans="1:9" x14ac:dyDescent="0.25">
      <c r="A23" s="4">
        <v>45050</v>
      </c>
      <c r="B23" s="16">
        <f t="shared" ref="B23" si="13">WEEKNUM(A23)</f>
        <v>18</v>
      </c>
      <c r="C23" s="9">
        <v>0.5</v>
      </c>
      <c r="D23" s="29" t="s">
        <v>10</v>
      </c>
      <c r="E23" s="11" t="s">
        <v>37</v>
      </c>
      <c r="F23" s="11"/>
      <c r="I23" s="12"/>
    </row>
    <row r="24" spans="1:9" ht="30" x14ac:dyDescent="0.25">
      <c r="A24" s="4">
        <v>45050</v>
      </c>
      <c r="B24" s="16">
        <f t="shared" ref="B24" si="14">WEEKNUM(A24)</f>
        <v>18</v>
      </c>
      <c r="C24" s="9">
        <v>1.5</v>
      </c>
      <c r="D24" s="29" t="s">
        <v>10</v>
      </c>
      <c r="E24" s="11" t="s">
        <v>36</v>
      </c>
      <c r="F24" s="11"/>
      <c r="I24" s="12"/>
    </row>
    <row r="25" spans="1:9" x14ac:dyDescent="0.25">
      <c r="A25" s="4">
        <v>45050</v>
      </c>
      <c r="B25" s="16">
        <f t="shared" ref="B25" si="15">WEEKNUM(A25)</f>
        <v>18</v>
      </c>
      <c r="C25" s="9">
        <v>0.5</v>
      </c>
      <c r="D25" s="29" t="s">
        <v>6</v>
      </c>
      <c r="E25" s="11" t="s">
        <v>35</v>
      </c>
      <c r="F25" s="11"/>
      <c r="I25" s="12"/>
    </row>
    <row r="26" spans="1:9" x14ac:dyDescent="0.25">
      <c r="A26" s="4">
        <v>45050</v>
      </c>
      <c r="B26" s="16">
        <f t="shared" ref="B26:B32" si="16">WEEKNUM(A26)</f>
        <v>18</v>
      </c>
      <c r="C26" s="9">
        <v>0.4</v>
      </c>
      <c r="D26" s="29" t="s">
        <v>6</v>
      </c>
      <c r="E26" s="11" t="s">
        <v>34</v>
      </c>
      <c r="F26" s="11"/>
      <c r="I26" s="12"/>
    </row>
    <row r="27" spans="1:9" ht="30" x14ac:dyDescent="0.25">
      <c r="A27" s="4">
        <v>45050</v>
      </c>
      <c r="B27" s="16">
        <f t="shared" si="16"/>
        <v>18</v>
      </c>
      <c r="C27" s="9">
        <v>0.25</v>
      </c>
      <c r="D27" s="29" t="s">
        <v>6</v>
      </c>
      <c r="E27" s="11" t="s">
        <v>33</v>
      </c>
      <c r="F27" s="11" t="s">
        <v>32</v>
      </c>
      <c r="I27" s="12"/>
    </row>
    <row r="28" spans="1:9" x14ac:dyDescent="0.25">
      <c r="A28" s="4">
        <v>45050</v>
      </c>
      <c r="B28" s="16">
        <f t="shared" si="16"/>
        <v>18</v>
      </c>
      <c r="C28" s="9">
        <v>0.5</v>
      </c>
      <c r="D28" s="29" t="s">
        <v>6</v>
      </c>
      <c r="E28" s="11" t="s">
        <v>31</v>
      </c>
      <c r="F28" s="11"/>
      <c r="I28" s="12"/>
    </row>
    <row r="29" spans="1:9" ht="30" x14ac:dyDescent="0.25">
      <c r="A29" s="4">
        <v>45050</v>
      </c>
      <c r="B29" s="16">
        <f t="shared" si="16"/>
        <v>18</v>
      </c>
      <c r="C29" s="9">
        <v>1.5</v>
      </c>
      <c r="D29" s="29" t="s">
        <v>6</v>
      </c>
      <c r="E29" s="11" t="s">
        <v>30</v>
      </c>
      <c r="F29" s="11"/>
      <c r="I29" s="12"/>
    </row>
    <row r="30" spans="1:9" ht="45" x14ac:dyDescent="0.25">
      <c r="A30" s="4">
        <v>45048</v>
      </c>
      <c r="B30" s="16">
        <f t="shared" si="16"/>
        <v>18</v>
      </c>
      <c r="C30" s="9">
        <v>2.25</v>
      </c>
      <c r="D30" s="29" t="s">
        <v>6</v>
      </c>
      <c r="E30" s="11" t="s">
        <v>29</v>
      </c>
      <c r="F30" s="11"/>
      <c r="I30" s="12"/>
    </row>
    <row r="31" spans="1:9" ht="45" x14ac:dyDescent="0.25">
      <c r="A31" s="4">
        <v>45048</v>
      </c>
      <c r="B31" s="16">
        <f t="shared" si="16"/>
        <v>18</v>
      </c>
      <c r="C31" s="9">
        <v>0.5</v>
      </c>
      <c r="D31" s="29" t="s">
        <v>12</v>
      </c>
      <c r="E31" s="11" t="s">
        <v>28</v>
      </c>
      <c r="F31" s="11"/>
      <c r="I31" s="12"/>
    </row>
    <row r="32" spans="1:9" x14ac:dyDescent="0.25">
      <c r="A32" s="4">
        <v>45048</v>
      </c>
      <c r="B32" s="16">
        <f t="shared" si="16"/>
        <v>18</v>
      </c>
      <c r="C32" s="9">
        <v>0.33333299999999999</v>
      </c>
      <c r="D32" s="29" t="s">
        <v>6</v>
      </c>
      <c r="E32" s="11" t="s">
        <v>27</v>
      </c>
      <c r="F32" s="11"/>
      <c r="I32" s="12"/>
    </row>
    <row r="33" spans="1:9" x14ac:dyDescent="0.25">
      <c r="A33" s="24"/>
      <c r="I33" s="12"/>
    </row>
    <row r="34" spans="1:9" x14ac:dyDescent="0.25">
      <c r="A34" s="24"/>
      <c r="I34" s="12"/>
    </row>
    <row r="35" spans="1:9" x14ac:dyDescent="0.25">
      <c r="A35" s="24"/>
      <c r="I35" s="12"/>
    </row>
    <row r="36" spans="1:9" x14ac:dyDescent="0.25">
      <c r="A36" s="24"/>
      <c r="I36" s="12"/>
    </row>
    <row r="37" spans="1:9" x14ac:dyDescent="0.25">
      <c r="A37" s="24"/>
      <c r="I37" s="12"/>
    </row>
    <row r="38" spans="1:9" x14ac:dyDescent="0.25">
      <c r="A38" s="24"/>
      <c r="I38" s="12"/>
    </row>
    <row r="39" spans="1:9" x14ac:dyDescent="0.25">
      <c r="A39" s="24"/>
      <c r="I39" s="12"/>
    </row>
    <row r="40" spans="1:9" x14ac:dyDescent="0.25">
      <c r="A40" s="24"/>
    </row>
    <row r="41" spans="1:9" x14ac:dyDescent="0.25">
      <c r="A41" s="24"/>
    </row>
    <row r="42" spans="1:9" x14ac:dyDescent="0.25">
      <c r="A42" s="24"/>
    </row>
    <row r="43" spans="1:9" x14ac:dyDescent="0.25">
      <c r="A43" s="24"/>
    </row>
    <row r="44" spans="1:9" x14ac:dyDescent="0.25">
      <c r="A44" s="24"/>
    </row>
    <row r="45" spans="1:9" x14ac:dyDescent="0.25">
      <c r="A45" s="24"/>
    </row>
    <row r="46" spans="1:9" x14ac:dyDescent="0.25">
      <c r="A46" s="24"/>
    </row>
  </sheetData>
  <sheetProtection selectLockedCells="1"/>
  <mergeCells count="5">
    <mergeCell ref="A1:F2"/>
    <mergeCell ref="B4:C4"/>
    <mergeCell ref="B5:C5"/>
    <mergeCell ref="B6:C6"/>
    <mergeCell ref="B7:C7"/>
  </mergeCells>
  <pageMargins left="0.25" right="0.25" top="0.75" bottom="0.75" header="0.3" footer="0.3"/>
  <pageSetup paperSize="152" scale="6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D9:D46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5"/>
  <sheetViews>
    <sheetView workbookViewId="0">
      <selection activeCell="B6" sqref="B6:C7"/>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0" t="s">
        <v>26</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45" x14ac:dyDescent="0.25">
      <c r="A10" s="4">
        <v>45054</v>
      </c>
      <c r="B10" s="16">
        <f>WEEKNUM(A10)</f>
        <v>19</v>
      </c>
      <c r="C10" s="9">
        <v>0.5</v>
      </c>
      <c r="D10" s="10" t="s">
        <v>6</v>
      </c>
      <c r="E10" s="11" t="s">
        <v>53</v>
      </c>
      <c r="F10" s="11" t="s">
        <v>21</v>
      </c>
      <c r="I10" s="12"/>
    </row>
    <row r="11" spans="1:9" ht="45" x14ac:dyDescent="0.25">
      <c r="A11" s="4">
        <v>45048</v>
      </c>
      <c r="B11" s="16">
        <f>WEEKNUM(A11)</f>
        <v>18</v>
      </c>
      <c r="C11" s="9">
        <v>0.5</v>
      </c>
      <c r="D11" s="10" t="s">
        <v>12</v>
      </c>
      <c r="E11" s="11" t="s">
        <v>28</v>
      </c>
      <c r="F11" s="11"/>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6" sqref="B6:C7"/>
    </sheetView>
  </sheetViews>
  <sheetFormatPr baseColWidth="10" defaultRowHeight="15" x14ac:dyDescent="0.25"/>
  <cols>
    <col min="1" max="1" width="26.7109375" customWidth="1"/>
    <col min="6" max="6" width="51.85546875" customWidth="1"/>
  </cols>
  <sheetData>
    <row r="1" spans="1:6" x14ac:dyDescent="0.25">
      <c r="A1" s="30" t="s">
        <v>22</v>
      </c>
      <c r="B1" s="30"/>
      <c r="C1" s="30"/>
      <c r="D1" s="30"/>
      <c r="E1" s="30"/>
      <c r="F1" s="30"/>
    </row>
    <row r="2" spans="1:6" x14ac:dyDescent="0.25">
      <c r="A2" s="30"/>
      <c r="B2" s="30"/>
      <c r="C2" s="30"/>
      <c r="D2" s="30"/>
      <c r="E2" s="30"/>
      <c r="F2" s="30"/>
    </row>
    <row r="3" spans="1:6" ht="20.25" customHeight="1" x14ac:dyDescent="0.25">
      <c r="A3" s="18" t="s">
        <v>14</v>
      </c>
      <c r="B3" s="19" t="s">
        <v>15</v>
      </c>
      <c r="C3" s="20"/>
      <c r="D3" s="20"/>
      <c r="E3" s="20"/>
      <c r="F3" s="20"/>
    </row>
    <row r="4" spans="1:6" ht="15.75" x14ac:dyDescent="0.25">
      <c r="A4" s="21" t="s">
        <v>16</v>
      </c>
      <c r="B4" s="31" t="s">
        <v>17</v>
      </c>
      <c r="C4" s="31"/>
      <c r="D4" s="22"/>
      <c r="E4" s="32"/>
      <c r="F4" s="32"/>
    </row>
    <row r="5" spans="1:6" ht="15.75" x14ac:dyDescent="0.25">
      <c r="A5" s="21" t="s">
        <v>18</v>
      </c>
      <c r="B5" s="31" t="s">
        <v>19</v>
      </c>
      <c r="C5" s="31"/>
      <c r="D5" s="22"/>
      <c r="E5" s="32"/>
      <c r="F5" s="32"/>
    </row>
    <row r="6" spans="1:6" ht="15.75" x14ac:dyDescent="0.25">
      <c r="A6" s="21" t="s">
        <v>20</v>
      </c>
      <c r="B6" s="31" t="s">
        <v>54</v>
      </c>
      <c r="C6" s="31"/>
      <c r="D6" s="22"/>
      <c r="E6" s="32"/>
      <c r="F6" s="32"/>
    </row>
    <row r="7" spans="1:6" ht="15.75" x14ac:dyDescent="0.25">
      <c r="A7" s="23"/>
      <c r="B7" s="31" t="s">
        <v>55</v>
      </c>
      <c r="C7" s="31"/>
      <c r="D7" s="22"/>
      <c r="E7" s="32"/>
      <c r="F7" s="32"/>
    </row>
    <row r="8" spans="1:6" ht="15.75" x14ac:dyDescent="0.25">
      <c r="A8" s="25" t="s">
        <v>24</v>
      </c>
      <c r="B8" s="26">
        <v>90</v>
      </c>
    </row>
    <row r="9" spans="1:6" ht="15.75" x14ac:dyDescent="0.25">
      <c r="A9" s="25" t="s">
        <v>23</v>
      </c>
      <c r="B9" s="28">
        <f>SUM('Journal de travail'!C9:C576)</f>
        <v>25.793332999999997</v>
      </c>
    </row>
    <row r="10" spans="1:6" x14ac:dyDescent="0.25">
      <c r="A10" s="27" t="s">
        <v>25</v>
      </c>
      <c r="B10" s="27">
        <f>B9*100/B8</f>
        <v>28.659258888888886</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0119da2b-60ce-4773-88fa-ebab2cde1f55"/>
    <ds:schemaRef ds:uri="http://schemas.microsoft.com/office/2006/documentManagement/types"/>
    <ds:schemaRef ds:uri="http://purl.org/dc/elements/1.1/"/>
    <ds:schemaRef ds:uri="http://schemas.microsoft.com/office/infopath/2007/PartnerControls"/>
    <ds:schemaRef ds:uri="http://purl.org/dc/dcmitype/"/>
    <ds:schemaRef ds:uri="http://purl.org/dc/terms/"/>
    <ds:schemaRef ds:uri="http://schemas.openxmlformats.org/package/2006/metadata/core-properties"/>
    <ds:schemaRef ds:uri="c00db93e-a012-41a1-8dae-1f2fb8b40d56"/>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2023-05-09T12:30:25Z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
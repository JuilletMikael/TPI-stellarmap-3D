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filterPrivacy="1" codeName="ThisWorkbook" hidePivotFieldList="1"/>
  <xr:revisionPtr revIDLastSave="0" documentId="13_ncr:1_{E756340D-1D8A-4B4A-97FF-9EB34CC925AF}" xr6:coauthVersionLast="47" xr6:coauthVersionMax="47" xr10:uidLastSave="{00000000-0000-0000-0000-000000000000}"/>
  <bookViews>
    <workbookView xWindow="0" yWindow="5145" windowWidth="43200" windowHeight="17145" xr2:uid="{00000000-000D-0000-FFFF-FFFF00000000}"/>
  </bookViews>
  <sheets>
    <sheet name="Journal de travail" sheetId="1" r:id="rId1"/>
    <sheet name="Journal de board" sheetId="8" r:id="rId2"/>
    <sheet name="Calculs" sheetId="7" r:id="rId3"/>
    <sheet name="Paramètres" sheetId="2" r:id="rId4"/>
  </sheets>
  <calcPr calcId="191029"/>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9" i="1" l="1"/>
  <c r="B9" i="7"/>
  <c r="B10" i="7" s="1"/>
  <c r="B10" i="1"/>
  <c r="B11" i="1"/>
  <c r="B12" i="1"/>
  <c r="B10" i="8"/>
  <c r="B9" i="8"/>
  <c r="B13" i="1"/>
  <c r="B14" i="1"/>
  <c r="B15" i="1"/>
</calcChain>
</file>

<file path=xl/sharedStrings.xml><?xml version="1.0" encoding="utf-8"?>
<sst xmlns="http://schemas.openxmlformats.org/spreadsheetml/2006/main" count="67" uniqueCount="34">
  <si>
    <t>Jour</t>
  </si>
  <si>
    <t>Semaine</t>
  </si>
  <si>
    <t>Temps [h]</t>
  </si>
  <si>
    <t>Type</t>
  </si>
  <si>
    <t>Description</t>
  </si>
  <si>
    <t>Remarques/problèmes</t>
  </si>
  <si>
    <t>Analyse</t>
  </si>
  <si>
    <t>Types de tâches</t>
  </si>
  <si>
    <t>Implémentation</t>
  </si>
  <si>
    <t>Tests</t>
  </si>
  <si>
    <t>Documentation</t>
  </si>
  <si>
    <t>Absence</t>
  </si>
  <si>
    <t>Meeting</t>
  </si>
  <si>
    <t>Journal de travail</t>
  </si>
  <si>
    <t xml:space="preserve">Projet </t>
  </si>
  <si>
    <t>Travail pratique individuel</t>
  </si>
  <si>
    <t xml:space="preserve">Candidat </t>
  </si>
  <si>
    <t>Juillet Mikael</t>
  </si>
  <si>
    <t xml:space="preserve">Chef de projet </t>
  </si>
  <si>
    <t>Benzonana Pascal</t>
  </si>
  <si>
    <t xml:space="preserve">Experts </t>
  </si>
  <si>
    <t>…</t>
  </si>
  <si>
    <t>Calculs des données</t>
  </si>
  <si>
    <t xml:space="preserve">Heures totales </t>
  </si>
  <si>
    <t xml:space="preserve">Heures attendues </t>
  </si>
  <si>
    <t xml:space="preserve">Pourcentage effectué </t>
  </si>
  <si>
    <t>Journal de board</t>
  </si>
  <si>
    <t>Récupération du cahier des charges, lecture et annotation de cette dernière.</t>
  </si>
  <si>
    <t>Rendez-vous avec Monsieur Montemayor Ernesto afin de discuter du cahier des charges et de certains points sur ce dernier. Nous avons notamment abordé les points relatifs aux rendus et de présentation. </t>
  </si>
  <si>
    <t>Création de la planification initiale, je suis allé dans les détails de la planification en expliquant le détails d'une semaine type en plus d'un diagrame de gantt et d'une liste des points.</t>
  </si>
  <si>
    <t xml:space="preserve">finalisation de laplanification initiale, création des email d'envoit sur la planification initiale et création d'un e-mail à Monsieur Benzonana questionant différents points du projet. </t>
  </si>
  <si>
    <t xml:space="preserve">Création du github et de l'icescrum et des dossiers. </t>
  </si>
  <si>
    <t xml:space="preserve">Cette tâche as été effectuée en dehors du temps de travail, sous nécésité d'un envoit de document important. </t>
  </si>
  <si>
    <t>Modification des erreurs de dates de la planification initiale, suite à l'e-mail de Monsieur Sahli.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</si>
</sst>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
      <sz val="24"/>
      <color theme="1"/>
      <name val="Calibri"/>
      <family val="2"/>
      <scheme val="minor"/>
    </font>
    <font>
      <sz val="12"/>
      <color theme="1"/>
      <name val="Calibri"/>
      <family val="2"/>
      <scheme val="minor"/>
    </font>
    <font>
      <b/>
      <sz val="36"/>
      <color theme="1"/>
      <name val="Calibri"/>
      <family val="2"/>
      <scheme val="minor"/>
    </font>
    <font>
      <b/>
      <sz val="11"/>
      <color theme="1"/>
      <name val="Arial"/>
      <family val="2"/>
    </font>
  </fonts>
  <fills count="5">
    <fill>
      <patternFill patternType="none"/>
    </fill>
    <fill>
      <patternFill patternType="gray125"/>
    </fill>
    <fill>
      <patternFill patternType="solid">
        <fgColor theme="0" tint="-0.14999847407452621"/>
        <bgColor indexed="64"/>
      </patternFill>
    </fill>
    <fill>
      <patternFill patternType="solid">
        <fgColor theme="9" tint="0.39997558519241921"/>
        <bgColor indexed="64"/>
      </patternFill>
    </fill>
    <fill>
      <patternFill patternType="solid">
        <fgColor theme="2" tint="-9.9978637043366805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lignment horizontal="center" vertical="center"/>
    </xf>
    <xf numFmtId="1" fontId="0" fillId="0" borderId="1" xfId="0" applyNumberFormat="1" applyBorder="1" applyAlignment="1">
      <alignment horizontal="center" vertical="center"/>
    </xf>
    <xf numFmtId="1" fontId="0" fillId="0" borderId="0" xfId="0" applyNumberFormat="1" applyAlignment="1">
      <alignment horizontal="center" vertical="center"/>
    </xf>
    <xf numFmtId="0" fontId="1" fillId="3" borderId="0" xfId="0" applyFont="1" applyFill="1" applyAlignment="1">
      <alignment horizontal="left" vertical="center"/>
    </xf>
    <xf numFmtId="0" fontId="6" fillId="3" borderId="0" xfId="0" applyFont="1" applyFill="1" applyAlignment="1">
      <alignment horizontal="left" vertical="center"/>
    </xf>
    <xf numFmtId="0" fontId="5" fillId="3" borderId="0" xfId="0" applyFont="1" applyFill="1" applyAlignment="1">
      <alignment horizontal="left" vertical="center"/>
    </xf>
    <xf numFmtId="0" fontId="1" fillId="3" borderId="0" xfId="0" applyFont="1" applyFill="1"/>
    <xf numFmtId="0" fontId="0" fillId="3" borderId="0" xfId="0" applyFill="1"/>
    <xf numFmtId="0" fontId="6" fillId="3" borderId="0" xfId="0" applyFont="1" applyFill="1"/>
    <xf numFmtId="16" fontId="0" fillId="0" borderId="0" xfId="0" applyNumberFormat="1" applyAlignment="1" applyProtection="1">
      <alignment horizontal="center" vertical="center"/>
      <protection locked="0"/>
    </xf>
    <xf numFmtId="0" fontId="1" fillId="4" borderId="0" xfId="0" applyFont="1" applyFill="1"/>
    <xf numFmtId="0" fontId="4" fillId="4" borderId="0" xfId="0" applyFont="1" applyFill="1"/>
    <xf numFmtId="0" fontId="8" fillId="4" borderId="0" xfId="0" applyFont="1" applyFill="1"/>
    <xf numFmtId="2" fontId="1" fillId="4" borderId="0" xfId="0" applyNumberFormat="1" applyFont="1" applyFill="1"/>
    <xf numFmtId="0" fontId="7" fillId="3" borderId="0" xfId="0" applyFont="1" applyFill="1" applyAlignment="1">
      <alignment horizontal="left" vertical="center"/>
    </xf>
    <xf numFmtId="0" fontId="6" fillId="3" borderId="0" xfId="0" applyFont="1" applyFill="1" applyAlignment="1">
      <alignment horizontal="left"/>
    </xf>
    <xf numFmtId="0" fontId="0" fillId="3"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3590925</xdr:colOff>
      <xdr:row>0</xdr:row>
      <xdr:rowOff>180975</xdr:rowOff>
    </xdr:from>
    <xdr:to>
      <xdr:col>5</xdr:col>
      <xdr:colOff>4866410</xdr:colOff>
      <xdr:row>4</xdr:row>
      <xdr:rowOff>15946</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696950" y="180975"/>
          <a:ext cx="1275485" cy="81604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3609975</xdr:colOff>
      <xdr:row>0</xdr:row>
      <xdr:rowOff>204356</xdr:rowOff>
    </xdr:from>
    <xdr:to>
      <xdr:col>5</xdr:col>
      <xdr:colOff>4885460</xdr:colOff>
      <xdr:row>4</xdr:row>
      <xdr:rowOff>39327</xdr:rowOff>
    </xdr:to>
    <xdr:pic>
      <xdr:nvPicPr>
        <xdr:cNvPr id="2" name="Imag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00" y="204356"/>
          <a:ext cx="1275485" cy="816046"/>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2238376</xdr:colOff>
      <xdr:row>0</xdr:row>
      <xdr:rowOff>166256</xdr:rowOff>
    </xdr:from>
    <xdr:to>
      <xdr:col>5</xdr:col>
      <xdr:colOff>3324225</xdr:colOff>
      <xdr:row>3</xdr:row>
      <xdr:rowOff>119433</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48376" y="166256"/>
          <a:ext cx="1085849" cy="591352"/>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29"/>
  <sheetViews>
    <sheetView tabSelected="1" zoomScaleNormal="100" workbookViewId="0">
      <selection activeCell="F10" sqref="F10"/>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5" style="5"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29" t="s">
        <v>13</v>
      </c>
      <c r="B1" s="29"/>
      <c r="C1" s="29"/>
      <c r="D1" s="29"/>
      <c r="E1" s="29"/>
      <c r="F1" s="29"/>
    </row>
    <row r="2" spans="1:9" ht="20.25" customHeight="1" x14ac:dyDescent="0.25">
      <c r="A2" s="29"/>
      <c r="B2" s="29"/>
      <c r="C2" s="29"/>
      <c r="D2" s="29"/>
      <c r="E2" s="29"/>
      <c r="F2" s="29"/>
      <c r="I2" s="12"/>
    </row>
    <row r="3" spans="1:9" ht="17.25" customHeight="1" x14ac:dyDescent="0.25">
      <c r="A3" s="18" t="s">
        <v>14</v>
      </c>
      <c r="B3" s="19" t="s">
        <v>15</v>
      </c>
      <c r="C3" s="20"/>
      <c r="D3" s="20"/>
      <c r="E3" s="20"/>
      <c r="F3" s="20"/>
      <c r="I3" s="12"/>
    </row>
    <row r="4" spans="1:9" ht="15.75" x14ac:dyDescent="0.25">
      <c r="A4" s="21" t="s">
        <v>16</v>
      </c>
      <c r="B4" s="30" t="s">
        <v>17</v>
      </c>
      <c r="C4" s="30"/>
      <c r="D4" s="22"/>
      <c r="E4" s="22"/>
      <c r="F4" s="22"/>
      <c r="I4" s="12"/>
    </row>
    <row r="5" spans="1:9" ht="15.75" x14ac:dyDescent="0.25">
      <c r="A5" s="21" t="s">
        <v>18</v>
      </c>
      <c r="B5" s="30" t="s">
        <v>19</v>
      </c>
      <c r="C5" s="30"/>
      <c r="D5" s="22"/>
      <c r="E5" s="22"/>
      <c r="F5" s="22"/>
      <c r="I5" s="12"/>
    </row>
    <row r="6" spans="1:9" ht="15.75" x14ac:dyDescent="0.25">
      <c r="A6" s="21" t="s">
        <v>20</v>
      </c>
      <c r="B6" s="30"/>
      <c r="C6" s="30"/>
      <c r="D6" s="22"/>
      <c r="E6" s="22"/>
      <c r="F6" s="22"/>
      <c r="I6" s="12"/>
    </row>
    <row r="7" spans="1:9" ht="15.75" x14ac:dyDescent="0.25">
      <c r="A7" s="23"/>
      <c r="B7" s="30"/>
      <c r="C7" s="30"/>
      <c r="D7" s="22"/>
      <c r="E7" s="22"/>
      <c r="F7" s="22"/>
      <c r="I7" s="12"/>
    </row>
    <row r="8" spans="1:9" ht="15.75" x14ac:dyDescent="0.25">
      <c r="A8" s="3" t="s">
        <v>0</v>
      </c>
      <c r="B8" s="15" t="s">
        <v>1</v>
      </c>
      <c r="C8" s="6" t="s">
        <v>2</v>
      </c>
      <c r="D8" s="3" t="s">
        <v>3</v>
      </c>
      <c r="E8" s="7" t="s">
        <v>4</v>
      </c>
      <c r="F8" s="7" t="s">
        <v>5</v>
      </c>
      <c r="I8" s="12"/>
    </row>
    <row r="9" spans="1:9" x14ac:dyDescent="0.25">
      <c r="A9" s="4">
        <v>44957</v>
      </c>
      <c r="B9" s="16">
        <f t="shared" ref="B9:B15" si="0">WEEKNUM(A9)</f>
        <v>5</v>
      </c>
      <c r="C9" s="9">
        <v>0</v>
      </c>
      <c r="D9" s="10" t="s">
        <v>6</v>
      </c>
      <c r="E9" s="11" t="s">
        <v>21</v>
      </c>
      <c r="F9" s="11" t="s">
        <v>21</v>
      </c>
      <c r="I9" s="12"/>
    </row>
    <row r="10" spans="1:9" ht="30" x14ac:dyDescent="0.25">
      <c r="A10" s="4">
        <v>44957</v>
      </c>
      <c r="B10" s="16">
        <f t="shared" si="0"/>
        <v>5</v>
      </c>
      <c r="C10" s="9">
        <v>0.25</v>
      </c>
      <c r="D10" s="10" t="s">
        <v>6</v>
      </c>
      <c r="E10" s="11" t="s">
        <v>33</v>
      </c>
      <c r="F10" s="11" t="s">
        <v>32</v>
      </c>
      <c r="I10" s="12"/>
    </row>
    <row r="11" spans="1:9" x14ac:dyDescent="0.25">
      <c r="A11" s="4">
        <v>44957</v>
      </c>
      <c r="B11" s="16">
        <f t="shared" si="0"/>
        <v>5</v>
      </c>
      <c r="C11" s="9">
        <v>0.5</v>
      </c>
      <c r="D11" s="10" t="s">
        <v>6</v>
      </c>
      <c r="E11" s="11" t="s">
        <v>31</v>
      </c>
      <c r="F11" s="11"/>
      <c r="I11" s="12"/>
    </row>
    <row r="12" spans="1:9" ht="30" x14ac:dyDescent="0.25">
      <c r="A12" s="4">
        <v>44957</v>
      </c>
      <c r="B12" s="16">
        <f t="shared" si="0"/>
        <v>5</v>
      </c>
      <c r="C12" s="9">
        <v>1.5</v>
      </c>
      <c r="D12" s="10" t="s">
        <v>6</v>
      </c>
      <c r="E12" s="11" t="s">
        <v>30</v>
      </c>
      <c r="F12" s="11"/>
      <c r="I12" s="12"/>
    </row>
    <row r="13" spans="1:9" ht="45" x14ac:dyDescent="0.25">
      <c r="A13" s="4">
        <v>45048</v>
      </c>
      <c r="B13" s="16">
        <f t="shared" si="0"/>
        <v>18</v>
      </c>
      <c r="C13" s="9">
        <v>2.25</v>
      </c>
      <c r="D13" s="10" t="s">
        <v>6</v>
      </c>
      <c r="E13" s="11" t="s">
        <v>29</v>
      </c>
      <c r="F13" s="11"/>
      <c r="I13" s="12"/>
    </row>
    <row r="14" spans="1:9" ht="45" x14ac:dyDescent="0.25">
      <c r="A14" s="4">
        <v>45048</v>
      </c>
      <c r="B14" s="16">
        <f t="shared" si="0"/>
        <v>18</v>
      </c>
      <c r="C14" s="9">
        <v>0.5</v>
      </c>
      <c r="D14" s="10" t="s">
        <v>12</v>
      </c>
      <c r="E14" s="11" t="s">
        <v>28</v>
      </c>
      <c r="F14" s="11"/>
      <c r="I14" s="12"/>
    </row>
    <row r="15" spans="1:9" x14ac:dyDescent="0.25">
      <c r="A15" s="4">
        <v>45048</v>
      </c>
      <c r="B15" s="16">
        <f t="shared" si="0"/>
        <v>18</v>
      </c>
      <c r="C15" s="9">
        <v>0.33333299999999999</v>
      </c>
      <c r="D15" s="10" t="s">
        <v>6</v>
      </c>
      <c r="E15" s="11" t="s">
        <v>27</v>
      </c>
      <c r="F15" s="11"/>
      <c r="I15" s="12"/>
    </row>
    <row r="16" spans="1:9" x14ac:dyDescent="0.25">
      <c r="A16" s="24"/>
      <c r="I16" s="12"/>
    </row>
    <row r="17" spans="1:9" x14ac:dyDescent="0.25">
      <c r="A17" s="24"/>
      <c r="I17" s="12"/>
    </row>
    <row r="18" spans="1:9" x14ac:dyDescent="0.25">
      <c r="A18" s="24"/>
      <c r="I18" s="12"/>
    </row>
    <row r="19" spans="1:9" x14ac:dyDescent="0.25">
      <c r="A19" s="24"/>
      <c r="I19" s="12"/>
    </row>
    <row r="20" spans="1:9" x14ac:dyDescent="0.25">
      <c r="A20" s="24"/>
      <c r="I20" s="12"/>
    </row>
    <row r="21" spans="1:9" x14ac:dyDescent="0.25">
      <c r="A21" s="24"/>
      <c r="I21" s="12"/>
    </row>
    <row r="22" spans="1:9" x14ac:dyDescent="0.25">
      <c r="A22" s="24"/>
      <c r="I22" s="12"/>
    </row>
    <row r="23" spans="1:9" x14ac:dyDescent="0.25">
      <c r="A23" s="24"/>
    </row>
    <row r="24" spans="1:9" x14ac:dyDescent="0.25">
      <c r="A24" s="24"/>
    </row>
    <row r="25" spans="1:9" x14ac:dyDescent="0.25">
      <c r="A25" s="24"/>
    </row>
    <row r="26" spans="1:9" x14ac:dyDescent="0.25">
      <c r="A26" s="24"/>
    </row>
    <row r="27" spans="1:9" x14ac:dyDescent="0.25">
      <c r="A27" s="24"/>
    </row>
    <row r="28" spans="1:9" x14ac:dyDescent="0.25">
      <c r="A28" s="24"/>
    </row>
    <row r="29" spans="1:9" x14ac:dyDescent="0.25">
      <c r="A29" s="24"/>
    </row>
  </sheetData>
  <sheetProtection selectLockedCells="1"/>
  <mergeCells count="5">
    <mergeCell ref="A1:F2"/>
    <mergeCell ref="B4:C4"/>
    <mergeCell ref="B5:C5"/>
    <mergeCell ref="B6:C6"/>
    <mergeCell ref="B7:C7"/>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Paramètres!$A$2:$A$38</xm:f>
          </x14:formula1>
          <xm:sqref>D9:D29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B7E-D021-456E-A77A-9AF1DE339BC1}">
  <dimension ref="A1:I24"/>
  <sheetViews>
    <sheetView workbookViewId="0">
      <selection activeCell="E16" sqref="E16"/>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3.140625" style="5" bestFit="1"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29" t="s">
        <v>26</v>
      </c>
      <c r="B1" s="29"/>
      <c r="C1" s="29"/>
      <c r="D1" s="29"/>
      <c r="E1" s="29"/>
      <c r="F1" s="29"/>
    </row>
    <row r="2" spans="1:9" ht="20.25" customHeight="1" x14ac:dyDescent="0.25">
      <c r="A2" s="29"/>
      <c r="B2" s="29"/>
      <c r="C2" s="29"/>
      <c r="D2" s="29"/>
      <c r="E2" s="29"/>
      <c r="F2" s="29"/>
      <c r="I2" s="12"/>
    </row>
    <row r="3" spans="1:9" ht="17.25" customHeight="1" x14ac:dyDescent="0.25">
      <c r="A3" s="18" t="s">
        <v>14</v>
      </c>
      <c r="B3" s="19" t="s">
        <v>15</v>
      </c>
      <c r="C3" s="20"/>
      <c r="D3" s="20"/>
      <c r="E3" s="20"/>
      <c r="F3" s="20"/>
      <c r="I3" s="12"/>
    </row>
    <row r="4" spans="1:9" ht="15.75" x14ac:dyDescent="0.25">
      <c r="A4" s="21" t="s">
        <v>16</v>
      </c>
      <c r="B4" s="30" t="s">
        <v>17</v>
      </c>
      <c r="C4" s="30"/>
      <c r="D4" s="22"/>
      <c r="E4" s="22"/>
      <c r="F4" s="22"/>
      <c r="I4" s="12"/>
    </row>
    <row r="5" spans="1:9" ht="15.75" x14ac:dyDescent="0.25">
      <c r="A5" s="21" t="s">
        <v>18</v>
      </c>
      <c r="B5" s="30" t="s">
        <v>19</v>
      </c>
      <c r="C5" s="30"/>
      <c r="D5" s="22"/>
      <c r="E5" s="22"/>
      <c r="F5" s="22"/>
      <c r="I5" s="12"/>
    </row>
    <row r="6" spans="1:9" ht="15.75" x14ac:dyDescent="0.25">
      <c r="A6" s="21" t="s">
        <v>20</v>
      </c>
      <c r="B6" s="30"/>
      <c r="C6" s="30"/>
      <c r="D6" s="22"/>
      <c r="E6" s="22"/>
      <c r="F6" s="22"/>
      <c r="I6" s="12"/>
    </row>
    <row r="7" spans="1:9" ht="15.75" x14ac:dyDescent="0.25">
      <c r="A7" s="23"/>
      <c r="B7" s="30"/>
      <c r="C7" s="30"/>
      <c r="D7" s="22"/>
      <c r="E7" s="22"/>
      <c r="F7" s="22"/>
      <c r="I7" s="12"/>
    </row>
    <row r="8" spans="1:9" ht="15.75" x14ac:dyDescent="0.25">
      <c r="A8" s="3" t="s">
        <v>0</v>
      </c>
      <c r="B8" s="15" t="s">
        <v>1</v>
      </c>
      <c r="C8" s="6" t="s">
        <v>2</v>
      </c>
      <c r="D8" s="3" t="s">
        <v>3</v>
      </c>
      <c r="E8" s="7" t="s">
        <v>4</v>
      </c>
      <c r="F8" s="7" t="s">
        <v>5</v>
      </c>
      <c r="I8" s="12"/>
    </row>
    <row r="9" spans="1:9" x14ac:dyDescent="0.25">
      <c r="A9" s="4">
        <v>44957</v>
      </c>
      <c r="B9" s="16">
        <f>WEEKNUM(A9)</f>
        <v>5</v>
      </c>
      <c r="C9" s="9">
        <v>0</v>
      </c>
      <c r="D9" s="10" t="s">
        <v>6</v>
      </c>
      <c r="E9" s="11" t="s">
        <v>21</v>
      </c>
      <c r="F9" s="11" t="s">
        <v>21</v>
      </c>
      <c r="I9" s="12"/>
    </row>
    <row r="10" spans="1:9" ht="45" x14ac:dyDescent="0.25">
      <c r="A10" s="4">
        <v>45048</v>
      </c>
      <c r="B10" s="16">
        <f>WEEKNUM(A10)</f>
        <v>18</v>
      </c>
      <c r="C10" s="9">
        <v>0.5</v>
      </c>
      <c r="D10" s="10" t="s">
        <v>12</v>
      </c>
      <c r="E10" s="11" t="s">
        <v>28</v>
      </c>
      <c r="F10" s="11"/>
      <c r="I10" s="12"/>
    </row>
    <row r="11" spans="1:9" x14ac:dyDescent="0.25">
      <c r="A11" s="24"/>
      <c r="I11" s="12"/>
    </row>
    <row r="12" spans="1:9" x14ac:dyDescent="0.25">
      <c r="A12" s="24"/>
      <c r="I12" s="12"/>
    </row>
    <row r="13" spans="1:9" x14ac:dyDescent="0.25">
      <c r="A13" s="24"/>
      <c r="I13" s="12"/>
    </row>
    <row r="14" spans="1:9" x14ac:dyDescent="0.25">
      <c r="A14" s="24"/>
      <c r="I14" s="12"/>
    </row>
    <row r="15" spans="1:9" x14ac:dyDescent="0.25">
      <c r="A15" s="24"/>
      <c r="I15" s="12"/>
    </row>
    <row r="16" spans="1:9" x14ac:dyDescent="0.25">
      <c r="A16" s="24"/>
      <c r="I16" s="12"/>
    </row>
    <row r="17" spans="1:9" x14ac:dyDescent="0.25">
      <c r="A17" s="24"/>
      <c r="I17" s="12"/>
    </row>
    <row r="18" spans="1:9" x14ac:dyDescent="0.25">
      <c r="A18" s="24"/>
    </row>
    <row r="19" spans="1:9" x14ac:dyDescent="0.25">
      <c r="A19" s="24"/>
    </row>
    <row r="20" spans="1:9" x14ac:dyDescent="0.25">
      <c r="A20" s="24"/>
    </row>
    <row r="21" spans="1:9" x14ac:dyDescent="0.25">
      <c r="A21" s="24"/>
    </row>
    <row r="22" spans="1:9" x14ac:dyDescent="0.25">
      <c r="A22" s="24"/>
    </row>
    <row r="23" spans="1:9" x14ac:dyDescent="0.25">
      <c r="A23" s="24"/>
    </row>
    <row r="24" spans="1:9" x14ac:dyDescent="0.25">
      <c r="A24" s="24"/>
    </row>
  </sheetData>
  <mergeCells count="5">
    <mergeCell ref="A1:F2"/>
    <mergeCell ref="B4:C4"/>
    <mergeCell ref="B5:C5"/>
    <mergeCell ref="B6:C6"/>
    <mergeCell ref="B7:C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mc:AlternateContent xmlns:mc="http://schemas.openxmlformats.org/markup-compatibility/2006">
          <mc:Choice Requires="x14">
            <control shapeId="3074"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1C452721-AB8C-4C48-89F9-7C8495DD45ED}">
          <x14:formula1>
            <xm:f>Paramètres!$A$2:$A$38</xm:f>
          </x14:formula1>
          <xm:sqref>D9:D24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3D25-10CE-44AA-8B60-763DB045FBF2}">
  <sheetPr codeName="Feuil3"/>
  <dimension ref="A1:F10"/>
  <sheetViews>
    <sheetView workbookViewId="0">
      <selection activeCell="C10" sqref="C10"/>
    </sheetView>
  </sheetViews>
  <sheetFormatPr baseColWidth="10" defaultRowHeight="15" x14ac:dyDescent="0.25"/>
  <cols>
    <col min="1" max="1" width="26.7109375" customWidth="1"/>
    <col min="6" max="6" width="51.85546875" customWidth="1"/>
  </cols>
  <sheetData>
    <row r="1" spans="1:6" x14ac:dyDescent="0.25">
      <c r="A1" s="29" t="s">
        <v>22</v>
      </c>
      <c r="B1" s="29"/>
      <c r="C1" s="29"/>
      <c r="D1" s="29"/>
      <c r="E1" s="29"/>
      <c r="F1" s="29"/>
    </row>
    <row r="2" spans="1:6" x14ac:dyDescent="0.25">
      <c r="A2" s="29"/>
      <c r="B2" s="29"/>
      <c r="C2" s="29"/>
      <c r="D2" s="29"/>
      <c r="E2" s="29"/>
      <c r="F2" s="29"/>
    </row>
    <row r="3" spans="1:6" ht="20.25" customHeight="1" x14ac:dyDescent="0.25">
      <c r="A3" s="18" t="s">
        <v>14</v>
      </c>
      <c r="B3" s="19" t="s">
        <v>15</v>
      </c>
      <c r="C3" s="20"/>
      <c r="D3" s="20"/>
      <c r="E3" s="20"/>
      <c r="F3" s="20"/>
    </row>
    <row r="4" spans="1:6" ht="15.75" x14ac:dyDescent="0.25">
      <c r="A4" s="21" t="s">
        <v>16</v>
      </c>
      <c r="B4" s="30" t="s">
        <v>17</v>
      </c>
      <c r="C4" s="30"/>
      <c r="D4" s="22"/>
      <c r="E4" s="31"/>
      <c r="F4" s="31"/>
    </row>
    <row r="5" spans="1:6" ht="15.75" x14ac:dyDescent="0.25">
      <c r="A5" s="21" t="s">
        <v>18</v>
      </c>
      <c r="B5" s="30" t="s">
        <v>19</v>
      </c>
      <c r="C5" s="30"/>
      <c r="D5" s="22"/>
      <c r="E5" s="31"/>
      <c r="F5" s="31"/>
    </row>
    <row r="6" spans="1:6" ht="15.75" x14ac:dyDescent="0.25">
      <c r="A6" s="21" t="s">
        <v>20</v>
      </c>
      <c r="B6" s="30"/>
      <c r="C6" s="30"/>
      <c r="D6" s="22"/>
      <c r="E6" s="31"/>
      <c r="F6" s="31"/>
    </row>
    <row r="7" spans="1:6" ht="15.75" x14ac:dyDescent="0.25">
      <c r="A7" s="23"/>
      <c r="B7" s="30"/>
      <c r="C7" s="30"/>
      <c r="D7" s="22"/>
      <c r="E7" s="31"/>
      <c r="F7" s="31"/>
    </row>
    <row r="8" spans="1:6" ht="15.75" x14ac:dyDescent="0.25">
      <c r="A8" s="25" t="s">
        <v>24</v>
      </c>
      <c r="B8" s="26">
        <v>90</v>
      </c>
    </row>
    <row r="9" spans="1:6" ht="15.75" x14ac:dyDescent="0.25">
      <c r="A9" s="25" t="s">
        <v>23</v>
      </c>
      <c r="B9" s="28">
        <f>SUM('Journal de travail'!C10:C559)</f>
        <v>5.3333329999999997</v>
      </c>
    </row>
    <row r="10" spans="1:6" x14ac:dyDescent="0.25">
      <c r="A10" s="27" t="s">
        <v>25</v>
      </c>
      <c r="B10" s="27">
        <f>B9*100/B8</f>
        <v>5.9259255555555557</v>
      </c>
    </row>
  </sheetData>
  <mergeCells count="6">
    <mergeCell ref="A1:F2"/>
    <mergeCell ref="B4:C4"/>
    <mergeCell ref="E4:F7"/>
    <mergeCell ref="B5:C5"/>
    <mergeCell ref="B6:C6"/>
    <mergeCell ref="B7:C7"/>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7"/>
  <sheetViews>
    <sheetView workbookViewId="0">
      <selection activeCell="E33" sqref="E33"/>
    </sheetView>
  </sheetViews>
  <sheetFormatPr baseColWidth="10" defaultColWidth="11.42578125" defaultRowHeight="15" x14ac:dyDescent="0.25"/>
  <cols>
    <col min="1" max="1" width="13.140625" bestFit="1" customWidth="1"/>
  </cols>
  <sheetData>
    <row r="1" spans="1:1" x14ac:dyDescent="0.25">
      <c r="A1" s="2" t="s">
        <v>7</v>
      </c>
    </row>
    <row r="2" spans="1:1" x14ac:dyDescent="0.25">
      <c r="A2" s="1" t="s">
        <v>6</v>
      </c>
    </row>
    <row r="3" spans="1:1" x14ac:dyDescent="0.25">
      <c r="A3" s="1" t="s">
        <v>8</v>
      </c>
    </row>
    <row r="4" spans="1:1" x14ac:dyDescent="0.25">
      <c r="A4" s="1" t="s">
        <v>9</v>
      </c>
    </row>
    <row r="5" spans="1:1" x14ac:dyDescent="0.25">
      <c r="A5" s="1" t="s">
        <v>10</v>
      </c>
    </row>
    <row r="6" spans="1:1" x14ac:dyDescent="0.25">
      <c r="A6" s="1" t="s">
        <v>11</v>
      </c>
    </row>
    <row r="7" spans="1:1" x14ac:dyDescent="0.25">
      <c r="A7" s="1" t="s">
        <v>12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7" ma:contentTypeDescription="Crée un document." ma:contentTypeScope="" ma:versionID="03e14c2536b56bc7dd47f79481c7176c">
  <xsd:schema xmlns:xsd="http://www.w3.org/2001/XMLSchema" xmlns:xs="http://www.w3.org/2001/XMLSchema" xmlns:p="http://schemas.microsoft.com/office/2006/metadata/properties" xmlns:ns2="0119da2b-60ce-4773-88fa-ebab2cde1f55" xmlns:ns3="c00db93e-a012-41a1-8dae-1f2fb8b40d56" targetNamespace="http://schemas.microsoft.com/office/2006/metadata/properties" ma:root="true" ma:fieldsID="5b7050275a68257b53998f6363dd12a8" ns2:_="" ns3:_="">
    <xsd:import namespace="0119da2b-60ce-4773-88fa-ebab2cde1f55"/>
    <xsd:import namespace="c00db93e-a012-41a1-8dae-1f2fb8b40d5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00db93e-a012-41a1-8dae-1f2fb8b40d5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FF8A9A8-A00A-4ABC-BBD7-3D54D09AED55}">
  <ds:schemaRefs>
    <ds:schemaRef ds:uri="http://schemas.microsoft.com/office/2006/metadata/properties"/>
    <ds:schemaRef ds:uri="http://purl.org/dc/terms/"/>
    <ds:schemaRef ds:uri="http://schemas.microsoft.com/office/2006/documentManagement/types"/>
    <ds:schemaRef ds:uri="http://schemas.openxmlformats.org/package/2006/metadata/core-properties"/>
    <ds:schemaRef ds:uri="c00db93e-a012-41a1-8dae-1f2fb8b40d56"/>
    <ds:schemaRef ds:uri="http://purl.org/dc/dcmitype/"/>
    <ds:schemaRef ds:uri="http://schemas.microsoft.com/office/infopath/2007/PartnerControls"/>
    <ds:schemaRef ds:uri="http://purl.org/dc/elements/1.1/"/>
    <ds:schemaRef ds:uri="0119da2b-60ce-4773-88fa-ebab2cde1f55"/>
    <ds:schemaRef ds:uri="http://www.w3.org/XML/1998/namespace"/>
  </ds:schemaRefs>
</ds:datastoreItem>
</file>

<file path=customXml/itemProps2.xml><?xml version="1.0" encoding="utf-8"?>
<ds:datastoreItem xmlns:ds="http://schemas.openxmlformats.org/officeDocument/2006/customXml" ds:itemID="{D152F1D8-BC39-43C0-AFD5-9D59D80C8BCD}">
  <ds:schemaRefs>
    <ds:schemaRef ds:uri="http://schemas.microsoft.com/sharepoint/v3/contenttype/forms"/>
  </ds:schemaRefs>
</ds:datastoreItem>
</file>

<file path=customXml/itemProps3.xml><?xml version="1.0" encoding="utf-8"?>
<ds:datastoreItem xmlns:ds="http://schemas.openxmlformats.org/officeDocument/2006/customXml" ds:itemID="{FFD78DB3-3C09-4B83-8502-3F07A10F4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c00db93e-a012-41a1-8dae-1f2fb8b40d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Journal de travail</vt:lpstr>
      <vt:lpstr>Journal de board</vt:lpstr>
      <vt:lpstr>Calculs</vt:lpstr>
      <vt:lpstr>Paramètres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2015-06-05T18:19:34Z</dcterms:created>
  <dcterms:modified xsi:type="dcterms:W3CDTF">2023-05-02T19:53:18Z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
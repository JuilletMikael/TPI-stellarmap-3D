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93FABEE7-D25F-4F90-A5BE-CA5A449FECB4}" xr6:coauthVersionLast="47" xr6:coauthVersionMax="47" xr10:uidLastSave="{00000000-0000-0000-0000-000000000000}"/>
  <bookViews>
    <workbookView xWindow="-120" yWindow="-120" windowWidth="29040" windowHeight="1584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 l="1"/>
  <c r="B16" i="7"/>
  <c r="A16" i="7" s="1"/>
  <c r="B15" i="7"/>
  <c r="A15" i="7" s="1"/>
  <c r="B14" i="7"/>
  <c r="A14" i="7" s="1"/>
  <c r="B13" i="7"/>
  <c r="A13" i="7" s="1"/>
  <c r="B12" i="7"/>
  <c r="A12" i="7" s="1"/>
  <c r="B9" i="7"/>
  <c r="B11" i="1"/>
  <c r="B13" i="1"/>
  <c r="B14" i="1"/>
  <c r="B15" i="1"/>
  <c r="B17" i="1"/>
  <c r="B18" i="1"/>
  <c r="B19" i="1"/>
  <c r="B20" i="1"/>
  <c r="B21" i="1"/>
  <c r="B23" i="1"/>
  <c r="B24" i="1"/>
  <c r="B25" i="1"/>
  <c r="B26" i="1"/>
  <c r="B28" i="1"/>
  <c r="B29" i="1"/>
  <c r="B30" i="1"/>
  <c r="B31" i="1"/>
  <c r="B32" i="1"/>
  <c r="B33" i="1"/>
  <c r="B35" i="1"/>
  <c r="B36" i="1"/>
  <c r="B38" i="1"/>
  <c r="B39" i="1"/>
  <c r="B40" i="1"/>
  <c r="B41" i="1"/>
  <c r="B42" i="1"/>
  <c r="B44" i="1"/>
  <c r="B45" i="1"/>
  <c r="B46" i="1"/>
  <c r="B47" i="1"/>
  <c r="B48" i="1"/>
  <c r="B10" i="8"/>
  <c r="B9" i="8"/>
  <c r="B49" i="1"/>
  <c r="B51" i="1"/>
  <c r="B52" i="1"/>
  <c r="B53" i="1"/>
  <c r="B54" i="1"/>
  <c r="B55" i="1"/>
  <c r="B56" i="1"/>
  <c r="B57" i="1"/>
  <c r="B58" i="1"/>
  <c r="B59" i="1"/>
  <c r="B63" i="1"/>
  <c r="B60" i="1"/>
  <c r="B61" i="1"/>
  <c r="B62" i="1"/>
  <c r="B65" i="1"/>
  <c r="B66" i="1" l="1"/>
  <c r="B10" i="7"/>
  <c r="B67" i="1"/>
  <c r="B68" i="1"/>
  <c r="B69" i="1"/>
  <c r="B70" i="1"/>
  <c r="B71" i="1"/>
  <c r="B72" i="1"/>
  <c r="B73" i="1"/>
  <c r="B74" i="1"/>
  <c r="B75" i="1"/>
  <c r="B76" i="1"/>
  <c r="B77" i="1"/>
  <c r="B12" i="8"/>
  <c r="B11" i="8"/>
  <c r="B78" i="1"/>
  <c r="B79" i="1"/>
  <c r="B80" i="1"/>
</calcChain>
</file>

<file path=xl/sharedStrings.xml><?xml version="1.0" encoding="utf-8"?>
<sst xmlns="http://schemas.openxmlformats.org/spreadsheetml/2006/main" count="218" uniqueCount="123">
  <si>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</si>
  <si>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</si>
  <si>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</si>
  <si>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</si>
  <si>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</si>
  <si>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</si>
  <si>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</si>
  <si>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</si>
  <si>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</si>
  <si>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</si>
  <si>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</si>
  <si>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</si>
  <si>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</si>
  <si>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</si>
  <si>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</si>
  <si>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</si>
  <si>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</si>
  <si>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</si>
  <si>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</si>
  <si>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</si>
  <si>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</si>
  <si>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</si>
  <si>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</si>
  <si>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</si>
  <si>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</si>
  <si>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</si>
  <si>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</si>
  <si>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</si>
  <si>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</si>
  <si>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</si>
  <si>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</si>
  <si>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</si>
  <si>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</si>
  <si>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</si>
  <si>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</si>
  <si>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</si>
  <si>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</si>
  <si>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</si>
  <si>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</si>
  <si>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</si>
  <si>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</si>
  <si>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</si>
  <si>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</si>
  <si>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</si>
  <si>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</si>
  <si>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</si>
  <si>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</si>
  <si>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</si>
  <si>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</si>
  <si>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</si>
  <si>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</si>
  <si>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</si>
  <si>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</si>
  <si>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</si>
  <si>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</si>
  <si>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</si>
  <si>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</si>
  <si>
    <t>Implémentation de vitest, mise en place des tests création des premiers tests pour horizon.</t>
  </si>
  <si>
    <t xml:space="preserve">Création du filtrage des données, mise a jour des regex, j'ai eu des complications avec les regex en créant les regex j'ai découvert à ma grande surprise que les données étaient toutes différentes. J'ai perdu pas mal de temps sur l'implémentation des regex afin qu'ils marchent pour toutes les planètes. </t>
  </si>
  <si>
    <t xml:space="preserve">Modification de la documentation, mise a jour des images, ajout de détails sur les api et ajout du favicon. </t>
  </si>
  <si>
    <t xml:space="preserve">Finalisation des tests pour horizon et création de tests pour la requête de récupération des objets proches. </t>
  </si>
  <si>
    <t xml:space="preserve">Sprint review avec Monsieur Benzonana et valisation du sprint 3. </t>
  </si>
  <si>
    <t xml:space="preserve">Création de maquettes et wireframe. J'ai dû rechercher des images pour les mettre dans les maquettes, c'est ce qui m'a pris le plus de temps. J'ai recensé plusieurs sites pour les quels j'ai récupéré les images: https://www.stickpng.com, www.pngarts.com et iconscout.com. Les liens de chaque image à été sauvegardé et a été ajoutée dans la documentation.  </t>
  </si>
  <si>
    <t xml:space="preserve">Modification de la documentation ajout notamment des liens vers les images ainsi que l'ajout des maquettes. </t>
  </si>
  <si>
    <t xml:space="preserve">Rendez-vous avec Monsieur Sahli pour la visite de stage, nous avons discuté du travail en cours des problèmes et des solutions, ainsi que les rendus de documents. </t>
  </si>
  <si>
    <t>Début de l'implémentation de la vue avec three.js.</t>
  </si>
  <si>
    <t xml:space="preserve">La semaine a été très stressante du fait du peu de temps destiné à la création de la planification initiale et du projet, la préparation de la documentation et la création du journal de travail m’ont demandé un certain temps de travail qui m'a fait stresser sur le temps nécessaire à la création des classes pour la fin du sprint 3 jours plus tard. Je suis tout de même content d'avoir fini le travail dans les temps sans empiéter sur la qualité du rendu. </t>
  </si>
  <si>
    <t xml:space="preserve">J'ai eu quelques difficultés sur les requêtes avec l'API Horizon de la Nasa, je n'arrivais pas à faire mes requêtes et à cause d'une erreur cors j'ai dû exporter les données ce qui m'a fait perdre du temps. J'ai cru à un moment que je n'arriverai pas à effectuer le travail relatif à l'api, mais Monsieurs Benzonana a su m'aider et me rassurer. J'ai finalement rattrapé mon retard à la fin du sprint ce qui m'a soulagé. </t>
  </si>
  <si>
    <t xml:space="preserve"> Ressentis semaine n°2</t>
  </si>
  <si>
    <t xml:space="preserve"> Ressentis semaine n°1</t>
  </si>
  <si>
    <t xml:space="preserve">Ajout de détails sur la vue dans la documentation. </t>
  </si>
  <si>
    <t xml:space="preserve">Ajout des planètes sur la vue, j'ai ajouté threejs et un renderer puis j'ai fait quelques modifications dans les classes pour que cela marche, quelques problèmes de relation avec threejs que j'ai réglé en vérifiant le code. </t>
  </si>
  <si>
    <t xml:space="preserve"> Ressentis du lundi 15 mai</t>
  </si>
  <si>
    <t xml:space="preserve">Une bonne journée, sans trop de stress je suis parfaitement dans le planning, la visite de Monsieur Sahli m'a motivé encore plus sur ce projet. Je suis content de cette journée. </t>
  </si>
  <si>
    <t>Configuration</t>
  </si>
  <si>
    <t xml:space="preserve"> Ressentis du lundi 16 mai</t>
  </si>
  <si>
    <t xml:space="preserve">C'est une bonne journée, j'ai beaucoup peiné sur la partie orbite. Je reste motivé et je suis content d'avoir atteint mon objectif de la semaine. </t>
  </si>
  <si>
    <t xml:space="preserve">Finalisation de l'ajout des planètes à leurs tailles ainsi qu'à leurs placements reçus par l'api. Ajout de l'orbite de la planète. </t>
  </si>
  <si>
    <t xml:space="preserve">Modification de la documentation et du journal de travail. J'ai notamment ajouté les informations relatives aux classes et au rendu. </t>
  </si>
  <si>
    <t>Implémentation de la nouvelle classe renderer et j'ai modifié le main et la classe celestial bodies pour que tous s'emboîtent parfaitement.</t>
  </si>
  <si>
    <t xml:space="preserve">Modification du diagramme de classe pour ajouter une classe renderer. </t>
  </si>
  <si>
    <t>Tentative d'accès en ssh au serveur de production. J'ai créé la clé ssh et ai tenté d'accéder au serveur mais swisscenter est down. https://stellarmap.mycpnv.ch/</t>
  </si>
  <si>
    <t xml:space="preserve">Eliott Jaquier, m'a aidé pour la partie création de la classe renderer, il m'a confirmé que le diagramme de classe pour la classe renderer était bien effectué. </t>
  </si>
  <si>
    <t>Eliott Jaquier, m'a aidé pour la partie création des classes, il m'a aiguillée sur les bonnes pratiques et le fonctionnement des classes.</t>
  </si>
  <si>
    <t xml:space="preserve"> Ressentis du lundi 22 mai</t>
  </si>
  <si>
    <t xml:space="preserve">Les planètes les plus en arrières vont plus vite que celles de devant ce qui devrait être le contraire. </t>
  </si>
  <si>
    <t xml:space="preserve">Documentation de la partie animation, changement des captures en blanc. </t>
  </si>
  <si>
    <t>J'ai analysé et fait quelques schémas sur une feuille du fonctionnement de la mise en place des satellites.</t>
  </si>
  <si>
    <t>Ajout de commentaires dans le code des classes.</t>
  </si>
  <si>
    <t>J'ai continué a essayé de résoudre le problème de vitesse orbital en changeant les calculs.</t>
  </si>
  <si>
    <t xml:space="preserve">Le problème est moins grand mais la vitesse n'est toujours pas exacte, les planètes du fond sont bien plus lentes que celles de devant, j'ai envoyé un e-mail à mon professeur de math pour savoir s'il sait ou est le problème dans mon calcul. </t>
  </si>
  <si>
    <t>Les vitesses d'orbites m'ont pris la tête, et m’ont fait perdre beaucoup de temps, ce qui ma contrarié une bonne partie de la journée. </t>
  </si>
  <si>
    <t>En montrant mon travail à mes camarades ils m'ont fait remarquer que mes planètes avaient beau avoir la bonne vitesse quand on compte le nombre de tour que fait la terre pour q'Uranus en face un seul, les calculs ne sont pas justes. J'ai par conséquent passé plusieurs heures à essayé de résoudre ce problème en cherchant différents calculs</t>
  </si>
  <si>
    <t>Je me suis occupé d'ajouter le visuel des orbites autour du soleil, c’est-à-dire le cercle qui correspond à la trajectoire de la planète.</t>
  </si>
  <si>
    <t>Ajout des astéroides, j'ai commencé a crée des astéroides en fonction des données recuent.</t>
  </si>
  <si>
    <t>Tests des point nécésaires au bonne affichage de la planète et des animations.</t>
  </si>
  <si>
    <t xml:space="preserve"> Ressentis du lundi 23 mai</t>
  </si>
  <si>
    <t xml:space="preserve">J'ai bien avancé, j'ai mis a jour le site, je suis satifait de mon travail du jour. </t>
  </si>
  <si>
    <t xml:space="preserve"> Ressentis du lundi 25 mai</t>
  </si>
  <si>
    <t xml:space="preserve">Revue de la documentation sur la partie de l'api. </t>
  </si>
  <si>
    <t xml:space="preserve">Ajout de détails sur la documentation sur les classes. </t>
  </si>
  <si>
    <t xml:space="preserve">Test du site afin de s'assurer que tout marche correctement. </t>
  </si>
  <si>
    <t xml:space="preserve"> Ressentis du lundi 26 mai</t>
  </si>
  <si>
    <t>J'ai ajouté les astéroïdes et je les ai placés afin qu'ils se déplacent avec la planète.</t>
  </si>
  <si>
    <t xml:space="preserve">J'ai ajouté la lune et l'orbite de la lune. </t>
  </si>
  <si>
    <t>J'ai fait un test pour le filtrage de la lune, il a fallu que j'effectue quelques modifications pour que tout fonctionne comme il faut.</t>
  </si>
  <si>
    <t>Implémentation de l'animation de la lune, j'ai eu quelques problèmes avec le positionement de la lune.</t>
  </si>
  <si>
    <t xml:space="preserve">La journée a été bonne, j'ai bien avancé le projet, il faudra que je rattrape les heures de documentation le lendemain car du au bugs, je n'ai pas eu le temps de faire de la documentation. </t>
  </si>
  <si>
    <t xml:space="preserve">Sprint review avec Monsieur Benzonana et validation du sprint 4. </t>
  </si>
  <si>
    <t xml:space="preserve">Ajout d'une skybox finalisation du sprint et correction des erreurs. </t>
  </si>
  <si>
    <t>Eliott Jaquier m'a aidé à trouver l'erreur de placement de ma lune qui avait été initialisé deux fois.</t>
  </si>
  <si>
    <t xml:space="preserve">Je suis content la journée, a été très productive, j'ai bien avancé sur la documentation et les problèmes de la veille sont résolus et le site prend forme. Je suis très fière de mon travail. </t>
  </si>
  <si>
    <t>Implémentation des features de changement de vitesse et de decription des planètes.</t>
  </si>
  <si>
    <t>Annalyse</t>
  </si>
  <si>
    <t>Test</t>
  </si>
  <si>
    <t>implementation</t>
  </si>
  <si>
    <t xml:space="preserve"> Ressentis du lundi 30 mai</t>
  </si>
  <si>
    <t>Très bonne journée, le travail est bientôt fini, j'ai pu faire mes features, il ne me reste que le polish à effectuer. Je suis content de moi et de mon efficacité du jour.</t>
  </si>
  <si>
    <t>Mise à jour de la documentation, j'ai changé les maquettes et ai relu l'ensemble de la documentation et ai effectué les modifications nécessaires pour préparer le rendu du projet vendredi.</t>
  </si>
  <si>
    <t xml:space="preserve">Modification des maquettes et analyse de la construction des features. </t>
  </si>
  <si>
    <t>Finalisation de la documentation finalisation des chapitres, ajout des résumés du bilan final et autres points nécessaires.</t>
  </si>
  <si>
    <t xml:space="preserve"> Ressentis du lundi 1 jui</t>
  </si>
  <si>
    <t xml:space="preserve">Très bonne journée dans le calme, j'ai bien avancé sur la documentation, il ne reste qu'à ajouter le journal de travail et à corriger l'orthographe et la documentation sera finie.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</si>
</sst>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6">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1">
    <xf numFmtId="0" fontId="0" fillId="0" borderId="0"/>
  </cellStyleXfs>
  <cellXfs count="3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2" fontId="0" fillId="0" borderId="0" xfId="0" applyNumberFormat="1" applyProtection="1">
      <protection locked="0"/>
    </xf>
    <xf numFmtId="0" fontId="0" fillId="5" borderId="2" xfId="0" applyFill="1" applyBorder="1" applyAlignment="1" applyProtection="1">
      <alignment horizontal="left" vertical="center" wrapText="1"/>
      <protection locked="0"/>
    </xf>
    <xf numFmtId="0" fontId="0" fillId="5" borderId="4" xfId="0" applyFill="1" applyBorder="1" applyAlignment="1" applyProtection="1">
      <alignment horizontal="left" vertical="center" wrapText="1"/>
      <protection locked="0"/>
    </xf>
    <xf numFmtId="16" fontId="0" fillId="5" borderId="2" xfId="0" applyNumberFormat="1" applyFill="1" applyBorder="1" applyAlignment="1" applyProtection="1">
      <alignment horizontal="center" vertical="center"/>
      <protection locked="0"/>
    </xf>
    <xf numFmtId="16" fontId="0" fillId="5" borderId="3" xfId="0" applyNumberFormat="1" applyFill="1" applyBorder="1" applyAlignment="1" applyProtection="1">
      <alignment horizontal="center" vertical="center"/>
      <protection locked="0"/>
    </xf>
    <xf numFmtId="16" fontId="0" fillId="5" borderId="4" xfId="0" applyNumberFormat="1" applyFill="1" applyBorder="1" applyAlignment="1" applyProtection="1">
      <alignment horizontal="center" vertical="center"/>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94"/>
  <sheetViews>
    <sheetView tabSelected="1" zoomScale="85" zoomScaleNormal="85" workbookViewId="0">
      <selection activeCell="K10" sqref="K10"/>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36" t="s">
        <v>13</v>
      </c>
      <c r="B1" s="36"/>
      <c r="C1" s="36"/>
      <c r="D1" s="36"/>
      <c r="E1" s="36"/>
      <c r="F1" s="36"/>
    </row>
    <row r="2" spans="1:9" ht="20.25" customHeight="1" x14ac:dyDescent="0.25">
      <c r="A2" s="36"/>
      <c r="B2" s="36"/>
      <c r="C2" s="36"/>
      <c r="D2" s="36"/>
      <c r="E2" s="36"/>
      <c r="F2" s="36"/>
      <c r="I2" s="12"/>
    </row>
    <row r="3" spans="1:9" ht="17.25" customHeight="1" x14ac:dyDescent="0.25">
      <c r="A3" s="18" t="s">
        <v>14</v>
      </c>
      <c r="B3" s="19" t="s">
        <v>15</v>
      </c>
      <c r="C3" s="20"/>
      <c r="D3" s="20"/>
      <c r="E3" s="20"/>
      <c r="F3" s="20"/>
      <c r="I3" s="12"/>
    </row>
    <row r="4" spans="1:9" ht="15.75" x14ac:dyDescent="0.25">
      <c r="A4" s="21" t="s">
        <v>16</v>
      </c>
      <c r="B4" s="37" t="s">
        <v>17</v>
      </c>
      <c r="C4" s="37"/>
      <c r="D4" s="22"/>
      <c r="E4" s="22"/>
      <c r="F4" s="22"/>
      <c r="I4" s="12"/>
    </row>
    <row r="5" spans="1:9" ht="15.75" x14ac:dyDescent="0.25">
      <c r="A5" s="21" t="s">
        <v>18</v>
      </c>
      <c r="B5" s="37" t="s">
        <v>19</v>
      </c>
      <c r="C5" s="37"/>
      <c r="D5" s="22"/>
      <c r="E5" s="22"/>
      <c r="F5" s="22"/>
      <c r="I5" s="12"/>
    </row>
    <row r="6" spans="1:9" ht="15.75" x14ac:dyDescent="0.25">
      <c r="A6" s="21" t="s">
        <v>20</v>
      </c>
      <c r="B6" s="37" t="s">
        <v>54</v>
      </c>
      <c r="C6" s="37"/>
      <c r="D6" s="22"/>
      <c r="E6" s="22"/>
      <c r="F6" s="22"/>
      <c r="I6" s="12"/>
    </row>
    <row r="7" spans="1:9" ht="15.75" x14ac:dyDescent="0.25">
      <c r="A7" s="23"/>
      <c r="B7" s="37" t="s">
        <v>55</v>
      </c>
      <c r="C7" s="37"/>
      <c r="D7" s="22"/>
      <c r="E7" s="22"/>
      <c r="F7" s="22"/>
      <c r="I7" s="12"/>
    </row>
    <row r="8" spans="1:9" ht="15.75" x14ac:dyDescent="0.25">
      <c r="A8" s="3" t="s">
        <v>0</v>
      </c>
      <c r="B8" s="15" t="s">
        <v>1</v>
      </c>
      <c r="C8" s="6" t="s">
        <v>2</v>
      </c>
      <c r="D8" s="3" t="s">
        <v>3</v>
      </c>
      <c r="E8" s="7" t="s">
        <v>4</v>
      </c>
      <c r="F8" s="7" t="s">
        <v>5</v>
      </c>
      <c r="I8" s="12"/>
    </row>
    <row r="9" spans="1:9" ht="15.75" customHeight="1" x14ac:dyDescent="0.25">
      <c r="A9" s="4">
        <v>45078</v>
      </c>
      <c r="B9" s="16">
        <f t="shared" ref="B9" si="0">WEEKNUM(A9)</f>
        <v>22</v>
      </c>
      <c r="C9" s="9">
        <v>0</v>
      </c>
      <c r="D9" s="29" t="s">
        <v>6</v>
      </c>
      <c r="E9" s="11"/>
      <c r="F9" s="11"/>
      <c r="I9" s="12"/>
    </row>
    <row r="10" spans="1:9" ht="28.5" customHeight="1" x14ac:dyDescent="0.25">
      <c r="A10" s="33" t="s">
        <v>121</v>
      </c>
      <c r="B10" s="34"/>
      <c r="C10" s="34"/>
      <c r="D10" s="35"/>
      <c r="E10" s="31" t="s">
        <v>122</v>
      </c>
      <c r="F10" s="32"/>
      <c r="I10" s="12"/>
    </row>
    <row r="11" spans="1:9" ht="43.5" customHeight="1" x14ac:dyDescent="0.25">
      <c r="A11" s="4">
        <v>45078</v>
      </c>
      <c r="B11" s="16">
        <f t="shared" ref="B11" si="1">WEEKNUM(A11)</f>
        <v>22</v>
      </c>
      <c r="C11" s="9">
        <v>3</v>
      </c>
      <c r="D11" s="29" t="s">
        <v>10</v>
      </c>
      <c r="E11" s="11" t="s">
        <v>120</v>
      </c>
      <c r="F11" s="11"/>
      <c r="I11" s="12"/>
    </row>
    <row r="12" spans="1:9" ht="55.5" customHeight="1" x14ac:dyDescent="0.25">
      <c r="A12" s="33" t="s">
        <v>116</v>
      </c>
      <c r="B12" s="34"/>
      <c r="C12" s="34"/>
      <c r="D12" s="35"/>
      <c r="E12" s="31" t="s">
        <v>117</v>
      </c>
      <c r="F12" s="32"/>
      <c r="I12" s="12"/>
    </row>
    <row r="13" spans="1:9" ht="21.75" customHeight="1" x14ac:dyDescent="0.25">
      <c r="A13" s="4">
        <v>45076</v>
      </c>
      <c r="B13" s="16">
        <f t="shared" ref="B13" si="2">WEEKNUM(A13)</f>
        <v>22</v>
      </c>
      <c r="C13" s="9">
        <v>3</v>
      </c>
      <c r="D13" s="29" t="s">
        <v>10</v>
      </c>
      <c r="E13" s="11" t="s">
        <v>118</v>
      </c>
      <c r="F13" s="11"/>
      <c r="I13" s="12"/>
    </row>
    <row r="14" spans="1:9" ht="28.5" customHeight="1" x14ac:dyDescent="0.25">
      <c r="A14" s="4">
        <v>45076</v>
      </c>
      <c r="B14" s="16">
        <f t="shared" ref="B14" si="3">WEEKNUM(A14)</f>
        <v>22</v>
      </c>
      <c r="C14" s="9">
        <v>0.5</v>
      </c>
      <c r="D14" s="29" t="s">
        <v>6</v>
      </c>
      <c r="E14" s="11" t="s">
        <v>119</v>
      </c>
      <c r="F14" s="11"/>
      <c r="I14" s="12"/>
    </row>
    <row r="15" spans="1:9" ht="15.75" customHeight="1" x14ac:dyDescent="0.25">
      <c r="A15" s="4">
        <v>45076</v>
      </c>
      <c r="B15" s="16">
        <f t="shared" ref="B15" si="4">WEEKNUM(A15)</f>
        <v>22</v>
      </c>
      <c r="C15" s="9">
        <v>2</v>
      </c>
      <c r="D15" s="29" t="s">
        <v>8</v>
      </c>
      <c r="E15" s="11" t="s">
        <v>112</v>
      </c>
      <c r="F15" s="11"/>
      <c r="I15" s="12"/>
    </row>
    <row r="16" spans="1:9" x14ac:dyDescent="0.25">
      <c r="A16" s="33" t="s">
        <v>102</v>
      </c>
      <c r="B16" s="34"/>
      <c r="C16" s="34"/>
      <c r="D16" s="35"/>
      <c r="E16" s="31" t="s">
        <v>111</v>
      </c>
      <c r="F16" s="32"/>
      <c r="I16" s="12"/>
    </row>
    <row r="17" spans="1:9" ht="15.75" customHeight="1" x14ac:dyDescent="0.25">
      <c r="A17" s="4">
        <v>45072</v>
      </c>
      <c r="B17" s="16">
        <f t="shared" ref="B17" si="5">WEEKNUM(A17)</f>
        <v>21</v>
      </c>
      <c r="C17" s="9">
        <v>1</v>
      </c>
      <c r="D17" s="29" t="s">
        <v>9</v>
      </c>
      <c r="E17" s="11" t="s">
        <v>101</v>
      </c>
      <c r="F17" s="11"/>
      <c r="I17" s="12"/>
    </row>
    <row r="18" spans="1:9" ht="15.75" customHeight="1" x14ac:dyDescent="0.25">
      <c r="A18" s="4">
        <v>45072</v>
      </c>
      <c r="B18" s="16">
        <f t="shared" ref="B18" si="6">WEEKNUM(A18)</f>
        <v>21</v>
      </c>
      <c r="C18" s="9">
        <v>1.5</v>
      </c>
      <c r="D18" s="29" t="s">
        <v>8</v>
      </c>
      <c r="E18" s="11" t="s">
        <v>109</v>
      </c>
      <c r="F18" s="11" t="s">
        <v>110</v>
      </c>
      <c r="I18" s="12"/>
    </row>
    <row r="19" spans="1:9" ht="15.75" customHeight="1" x14ac:dyDescent="0.25">
      <c r="A19" s="4">
        <v>45072</v>
      </c>
      <c r="B19" s="16">
        <f t="shared" ref="B19" si="7">WEEKNUM(A19)</f>
        <v>21</v>
      </c>
      <c r="C19" s="9">
        <v>2</v>
      </c>
      <c r="D19" s="29" t="s">
        <v>10</v>
      </c>
      <c r="E19" s="8" t="s">
        <v>100</v>
      </c>
      <c r="F19" s="11"/>
      <c r="I19" s="12"/>
    </row>
    <row r="20" spans="1:9" ht="32.25" customHeight="1" x14ac:dyDescent="0.25">
      <c r="A20" s="4">
        <v>45072</v>
      </c>
      <c r="B20" s="16">
        <f t="shared" ref="B20" si="8">WEEKNUM(A20)</f>
        <v>21</v>
      </c>
      <c r="C20" s="9">
        <v>1</v>
      </c>
      <c r="D20" s="29" t="s">
        <v>10</v>
      </c>
      <c r="E20" s="11" t="s">
        <v>99</v>
      </c>
      <c r="F20" s="11"/>
      <c r="I20" s="12"/>
    </row>
    <row r="21" spans="1:9" ht="30" customHeight="1" x14ac:dyDescent="0.25">
      <c r="A21" s="4">
        <v>45072</v>
      </c>
      <c r="B21" s="16">
        <f t="shared" ref="B21" si="9">WEEKNUM(A21)</f>
        <v>21</v>
      </c>
      <c r="C21" s="9">
        <v>1</v>
      </c>
      <c r="D21" s="29" t="s">
        <v>12</v>
      </c>
      <c r="E21" s="11" t="s">
        <v>108</v>
      </c>
      <c r="F21" s="11"/>
      <c r="I21" s="12"/>
    </row>
    <row r="22" spans="1:9" ht="34.5" customHeight="1" x14ac:dyDescent="0.25">
      <c r="A22" s="33" t="s">
        <v>98</v>
      </c>
      <c r="B22" s="34"/>
      <c r="C22" s="34"/>
      <c r="D22" s="35"/>
      <c r="E22" s="31" t="s">
        <v>107</v>
      </c>
      <c r="F22" s="32"/>
      <c r="I22" s="12"/>
    </row>
    <row r="23" spans="1:9" ht="15.75" customHeight="1" x14ac:dyDescent="0.25">
      <c r="A23" s="4">
        <v>45071</v>
      </c>
      <c r="B23" s="16">
        <f t="shared" ref="B23" si="10">WEEKNUM(A23)</f>
        <v>21</v>
      </c>
      <c r="C23" s="9">
        <v>2.25</v>
      </c>
      <c r="D23" s="29" t="s">
        <v>8</v>
      </c>
      <c r="E23" s="11" t="s">
        <v>106</v>
      </c>
      <c r="F23" s="11"/>
      <c r="I23" s="12"/>
    </row>
    <row r="24" spans="1:9" ht="15.75" customHeight="1" x14ac:dyDescent="0.25">
      <c r="A24" s="4">
        <v>45071</v>
      </c>
      <c r="B24" s="16">
        <f t="shared" ref="B24" si="11">WEEKNUM(A24)</f>
        <v>21</v>
      </c>
      <c r="C24" s="9">
        <v>0.75</v>
      </c>
      <c r="D24" s="29" t="s">
        <v>9</v>
      </c>
      <c r="E24" s="11" t="s">
        <v>105</v>
      </c>
      <c r="F24" s="11"/>
      <c r="I24" s="12"/>
    </row>
    <row r="25" spans="1:9" ht="15.75" customHeight="1" x14ac:dyDescent="0.25">
      <c r="A25" s="4">
        <v>45071</v>
      </c>
      <c r="B25" s="16">
        <f t="shared" ref="B25" si="12">WEEKNUM(A25)</f>
        <v>21</v>
      </c>
      <c r="C25" s="9">
        <v>1.5</v>
      </c>
      <c r="D25" s="29" t="s">
        <v>8</v>
      </c>
      <c r="E25" s="11" t="s">
        <v>104</v>
      </c>
      <c r="F25" s="11"/>
      <c r="I25" s="12"/>
    </row>
    <row r="26" spans="1:9" x14ac:dyDescent="0.25">
      <c r="A26" s="4">
        <v>45071</v>
      </c>
      <c r="B26" s="16">
        <f t="shared" ref="B26" si="13">WEEKNUM(A26)</f>
        <v>21</v>
      </c>
      <c r="C26" s="9">
        <v>0.92</v>
      </c>
      <c r="D26" s="29" t="s">
        <v>8</v>
      </c>
      <c r="E26" t="s">
        <v>103</v>
      </c>
      <c r="F26" s="11"/>
      <c r="H26" s="30"/>
      <c r="I26" s="12"/>
    </row>
    <row r="27" spans="1:9" x14ac:dyDescent="0.25">
      <c r="A27" s="33" t="s">
        <v>96</v>
      </c>
      <c r="B27" s="34"/>
      <c r="C27" s="34"/>
      <c r="D27" s="35"/>
      <c r="E27" s="31" t="s">
        <v>97</v>
      </c>
      <c r="F27" s="32"/>
      <c r="I27" s="12"/>
    </row>
    <row r="28" spans="1:9" x14ac:dyDescent="0.25">
      <c r="A28" s="4">
        <v>45069</v>
      </c>
      <c r="B28" s="16">
        <f t="shared" ref="B28" si="14">WEEKNUM(A28)</f>
        <v>21</v>
      </c>
      <c r="C28" s="9">
        <v>1</v>
      </c>
      <c r="D28" s="29" t="s">
        <v>8</v>
      </c>
      <c r="E28" s="11" t="s">
        <v>94</v>
      </c>
      <c r="F28" s="11"/>
      <c r="I28" s="12"/>
    </row>
    <row r="29" spans="1:9" x14ac:dyDescent="0.25">
      <c r="A29" s="4">
        <v>45069</v>
      </c>
      <c r="B29" s="16">
        <f t="shared" ref="B29" si="15">WEEKNUM(A29)</f>
        <v>21</v>
      </c>
      <c r="C29" s="9">
        <v>0.5</v>
      </c>
      <c r="D29" s="29" t="s">
        <v>9</v>
      </c>
      <c r="E29" s="11" t="s">
        <v>95</v>
      </c>
      <c r="F29" s="11"/>
      <c r="I29" s="12"/>
    </row>
    <row r="30" spans="1:9" ht="30" x14ac:dyDescent="0.25">
      <c r="A30" s="4">
        <v>45069</v>
      </c>
      <c r="B30" s="16">
        <f t="shared" ref="B30" si="16">WEEKNUM(A30)</f>
        <v>21</v>
      </c>
      <c r="C30" s="9">
        <v>0.75</v>
      </c>
      <c r="D30" s="29" t="s">
        <v>6</v>
      </c>
      <c r="E30" s="11" t="s">
        <v>87</v>
      </c>
      <c r="F30" s="11"/>
      <c r="I30" s="12"/>
    </row>
    <row r="31" spans="1:9" x14ac:dyDescent="0.25">
      <c r="A31" s="4">
        <v>45069</v>
      </c>
      <c r="B31" s="16">
        <f t="shared" ref="B31" si="17">WEEKNUM(A31)</f>
        <v>21</v>
      </c>
      <c r="C31" s="9">
        <v>1.25</v>
      </c>
      <c r="D31" s="29" t="s">
        <v>10</v>
      </c>
      <c r="E31" s="11" t="s">
        <v>86</v>
      </c>
      <c r="F31" s="11"/>
      <c r="I31" s="12"/>
    </row>
    <row r="32" spans="1:9" x14ac:dyDescent="0.25">
      <c r="A32" s="4">
        <v>45069</v>
      </c>
      <c r="B32" s="16">
        <f t="shared" ref="B32" si="18">WEEKNUM(A32)</f>
        <v>21</v>
      </c>
      <c r="C32" s="9">
        <v>0.75</v>
      </c>
      <c r="D32" s="29" t="s">
        <v>8</v>
      </c>
      <c r="E32" s="11" t="s">
        <v>88</v>
      </c>
      <c r="F32" s="11"/>
      <c r="I32" s="12"/>
    </row>
    <row r="33" spans="1:9" ht="45" x14ac:dyDescent="0.25">
      <c r="A33" s="4">
        <v>45069</v>
      </c>
      <c r="B33" s="16">
        <f t="shared" ref="B33" si="19">WEEKNUM(A33)</f>
        <v>21</v>
      </c>
      <c r="C33" s="9">
        <v>2</v>
      </c>
      <c r="D33" s="29" t="s">
        <v>8</v>
      </c>
      <c r="E33" s="11" t="s">
        <v>89</v>
      </c>
      <c r="F33" s="11" t="s">
        <v>90</v>
      </c>
      <c r="I33" s="12"/>
    </row>
    <row r="34" spans="1:9" x14ac:dyDescent="0.25">
      <c r="A34" s="33" t="s">
        <v>84</v>
      </c>
      <c r="B34" s="34"/>
      <c r="C34" s="34"/>
      <c r="D34" s="35"/>
      <c r="E34" s="31" t="s">
        <v>91</v>
      </c>
      <c r="F34" s="32"/>
      <c r="I34" s="12"/>
    </row>
    <row r="35" spans="1:9" ht="60" x14ac:dyDescent="0.25">
      <c r="A35" s="4">
        <v>45068</v>
      </c>
      <c r="B35" s="16">
        <f t="shared" ref="B35" si="20">WEEKNUM(A35)</f>
        <v>21</v>
      </c>
      <c r="C35" s="9">
        <v>4</v>
      </c>
      <c r="D35" s="29" t="s">
        <v>8</v>
      </c>
      <c r="E35" s="11" t="s">
        <v>92</v>
      </c>
      <c r="F35" s="11" t="s">
        <v>85</v>
      </c>
      <c r="I35" s="12"/>
    </row>
    <row r="36" spans="1:9" ht="30" x14ac:dyDescent="0.25">
      <c r="A36" s="4">
        <v>45068</v>
      </c>
      <c r="B36" s="16">
        <f t="shared" ref="B36" si="21">WEEKNUM(A36)</f>
        <v>21</v>
      </c>
      <c r="C36" s="9">
        <v>3</v>
      </c>
      <c r="D36" s="29" t="s">
        <v>8</v>
      </c>
      <c r="E36" s="11" t="s">
        <v>93</v>
      </c>
      <c r="F36" s="11"/>
      <c r="I36" s="12"/>
    </row>
    <row r="37" spans="1:9" x14ac:dyDescent="0.25">
      <c r="A37" s="33" t="s">
        <v>75</v>
      </c>
      <c r="B37" s="34"/>
      <c r="C37" s="34"/>
      <c r="D37" s="35"/>
      <c r="E37" s="31" t="s">
        <v>76</v>
      </c>
      <c r="F37" s="32"/>
      <c r="I37" s="12"/>
    </row>
    <row r="38" spans="1:9" ht="30" x14ac:dyDescent="0.25">
      <c r="A38" s="4">
        <v>45062</v>
      </c>
      <c r="B38" s="16">
        <f t="shared" ref="B38" si="22">WEEKNUM(A38)</f>
        <v>20</v>
      </c>
      <c r="C38" s="9">
        <v>2.25</v>
      </c>
      <c r="D38" s="29" t="s">
        <v>8</v>
      </c>
      <c r="E38" s="11" t="s">
        <v>77</v>
      </c>
      <c r="F38" s="11"/>
      <c r="I38" s="12"/>
    </row>
    <row r="39" spans="1:9" ht="30" x14ac:dyDescent="0.25">
      <c r="A39" s="4">
        <v>45062</v>
      </c>
      <c r="B39" s="16">
        <f t="shared" ref="B39" si="23">WEEKNUM(A39)</f>
        <v>20</v>
      </c>
      <c r="C39" s="9">
        <v>0.5</v>
      </c>
      <c r="D39" s="29" t="s">
        <v>10</v>
      </c>
      <c r="E39" s="11" t="s">
        <v>78</v>
      </c>
      <c r="F39" s="11"/>
      <c r="I39" s="12"/>
    </row>
    <row r="40" spans="1:9" ht="30" x14ac:dyDescent="0.25">
      <c r="A40" s="4">
        <v>45062</v>
      </c>
      <c r="B40" s="16">
        <f t="shared" ref="B40" si="24">WEEKNUM(A40)</f>
        <v>20</v>
      </c>
      <c r="C40" s="9">
        <v>1.75</v>
      </c>
      <c r="D40" s="29" t="s">
        <v>8</v>
      </c>
      <c r="E40" s="11" t="s">
        <v>79</v>
      </c>
      <c r="F40" s="11" t="s">
        <v>83</v>
      </c>
      <c r="I40" s="12"/>
    </row>
    <row r="41" spans="1:9" ht="34.5" customHeight="1" x14ac:dyDescent="0.25">
      <c r="A41" s="4">
        <v>45062</v>
      </c>
      <c r="B41" s="16">
        <f t="shared" ref="B41" si="25">WEEKNUM(A41)</f>
        <v>20</v>
      </c>
      <c r="C41" s="9">
        <v>0.25</v>
      </c>
      <c r="D41" s="29" t="s">
        <v>6</v>
      </c>
      <c r="E41" s="11" t="s">
        <v>80</v>
      </c>
      <c r="F41" s="11" t="s">
        <v>82</v>
      </c>
      <c r="I41" s="12"/>
    </row>
    <row r="42" spans="1:9" ht="30" x14ac:dyDescent="0.25">
      <c r="A42" s="4">
        <v>45062</v>
      </c>
      <c r="B42" s="16">
        <f t="shared" ref="B42" si="26">WEEKNUM(A42)</f>
        <v>20</v>
      </c>
      <c r="C42" s="9">
        <v>0.75</v>
      </c>
      <c r="D42" s="29" t="s">
        <v>74</v>
      </c>
      <c r="E42" s="11" t="s">
        <v>81</v>
      </c>
      <c r="F42" s="11"/>
      <c r="I42" s="12"/>
    </row>
    <row r="43" spans="1:9" x14ac:dyDescent="0.25">
      <c r="A43" s="33" t="s">
        <v>72</v>
      </c>
      <c r="B43" s="34"/>
      <c r="C43" s="34"/>
      <c r="D43" s="35"/>
      <c r="E43" s="31" t="s">
        <v>73</v>
      </c>
      <c r="F43" s="32"/>
      <c r="I43" s="12"/>
    </row>
    <row r="44" spans="1:9" x14ac:dyDescent="0.25">
      <c r="A44" s="4">
        <v>45061</v>
      </c>
      <c r="B44" s="16">
        <f t="shared" ref="B44" si="27">WEEKNUM(A44)</f>
        <v>20</v>
      </c>
      <c r="C44" s="9">
        <v>0.25</v>
      </c>
      <c r="D44" s="29" t="s">
        <v>10</v>
      </c>
      <c r="E44" s="11" t="s">
        <v>70</v>
      </c>
      <c r="F44" s="11"/>
      <c r="I44" s="12"/>
    </row>
    <row r="45" spans="1:9" ht="45" x14ac:dyDescent="0.25">
      <c r="A45" s="4">
        <v>45061</v>
      </c>
      <c r="B45" s="16">
        <f t="shared" ref="B45" si="28">WEEKNUM(A45)</f>
        <v>20</v>
      </c>
      <c r="C45" s="9">
        <v>2.75</v>
      </c>
      <c r="D45" s="29" t="s">
        <v>8</v>
      </c>
      <c r="E45" s="11" t="s">
        <v>71</v>
      </c>
      <c r="F45" s="11"/>
      <c r="I45" s="12"/>
    </row>
    <row r="46" spans="1:9" x14ac:dyDescent="0.25">
      <c r="A46" s="4">
        <v>45061</v>
      </c>
      <c r="B46" s="16">
        <f t="shared" ref="B46" si="29">WEEKNUM(A46)</f>
        <v>20</v>
      </c>
      <c r="C46" s="9">
        <v>1</v>
      </c>
      <c r="D46" s="29" t="s">
        <v>8</v>
      </c>
      <c r="E46" s="11" t="s">
        <v>65</v>
      </c>
      <c r="F46" s="11"/>
      <c r="I46" s="12"/>
    </row>
    <row r="47" spans="1:9" ht="60" x14ac:dyDescent="0.25">
      <c r="A47" s="4">
        <v>45061</v>
      </c>
      <c r="B47" s="16">
        <f t="shared" ref="B47" si="30">WEEKNUM(A47)</f>
        <v>20</v>
      </c>
      <c r="C47" s="9">
        <v>2.25</v>
      </c>
      <c r="D47" s="29" t="s">
        <v>6</v>
      </c>
      <c r="E47" s="11" t="s">
        <v>62</v>
      </c>
      <c r="F47" s="11"/>
      <c r="I47" s="12"/>
    </row>
    <row r="48" spans="1:9" ht="65.25" customHeight="1" x14ac:dyDescent="0.25">
      <c r="A48" s="4">
        <v>45061</v>
      </c>
      <c r="B48" s="16">
        <f t="shared" ref="B48" si="31">WEEKNUM(A48)</f>
        <v>20</v>
      </c>
      <c r="C48" s="9">
        <v>1</v>
      </c>
      <c r="D48" s="29" t="s">
        <v>10</v>
      </c>
      <c r="E48" s="11" t="s">
        <v>63</v>
      </c>
      <c r="F48" s="11"/>
      <c r="I48" s="12"/>
    </row>
    <row r="49" spans="1:9" ht="30" x14ac:dyDescent="0.25">
      <c r="A49" s="4">
        <v>45061</v>
      </c>
      <c r="B49" s="16">
        <f t="shared" ref="B49" si="32">WEEKNUM(A49)</f>
        <v>20</v>
      </c>
      <c r="C49" s="9">
        <v>0.5</v>
      </c>
      <c r="D49" s="29" t="s">
        <v>12</v>
      </c>
      <c r="E49" s="11" t="s">
        <v>64</v>
      </c>
      <c r="F49" s="11"/>
      <c r="I49" s="12"/>
    </row>
    <row r="50" spans="1:9" x14ac:dyDescent="0.25">
      <c r="A50" s="33" t="s">
        <v>68</v>
      </c>
      <c r="B50" s="34"/>
      <c r="C50" s="34"/>
      <c r="D50" s="35"/>
      <c r="E50" s="31" t="s">
        <v>67</v>
      </c>
      <c r="F50" s="32"/>
      <c r="I50" s="12"/>
    </row>
    <row r="51" spans="1:9" x14ac:dyDescent="0.25">
      <c r="A51" s="4">
        <v>45058</v>
      </c>
      <c r="B51" s="16">
        <f t="shared" ref="B51" si="33">WEEKNUM(A51)</f>
        <v>19</v>
      </c>
      <c r="C51" s="9">
        <v>0.75</v>
      </c>
      <c r="D51" s="29" t="s">
        <v>12</v>
      </c>
      <c r="E51" s="11" t="s">
        <v>61</v>
      </c>
      <c r="F51" s="11"/>
      <c r="I51" s="12"/>
    </row>
    <row r="52" spans="1:9" ht="30" x14ac:dyDescent="0.25">
      <c r="A52" s="4">
        <v>45058</v>
      </c>
      <c r="B52" s="16">
        <f t="shared" ref="B52" si="34">WEEKNUM(A52)</f>
        <v>19</v>
      </c>
      <c r="C52" s="9">
        <v>2.5</v>
      </c>
      <c r="D52" s="29" t="s">
        <v>10</v>
      </c>
      <c r="E52" s="11" t="s">
        <v>59</v>
      </c>
      <c r="F52" s="11"/>
      <c r="I52" s="12"/>
    </row>
    <row r="53" spans="1:9" ht="30" x14ac:dyDescent="0.25">
      <c r="A53" s="4">
        <v>45058</v>
      </c>
      <c r="B53" s="16">
        <f t="shared" ref="B53" si="35">WEEKNUM(A53)</f>
        <v>19</v>
      </c>
      <c r="C53" s="9">
        <v>2.25</v>
      </c>
      <c r="D53" s="29" t="s">
        <v>9</v>
      </c>
      <c r="E53" s="11" t="s">
        <v>60</v>
      </c>
      <c r="F53" s="11"/>
      <c r="I53" s="12"/>
    </row>
    <row r="54" spans="1:9" ht="60" x14ac:dyDescent="0.25">
      <c r="A54" s="4">
        <v>45057</v>
      </c>
      <c r="B54" s="16">
        <f t="shared" ref="B54" si="36">WEEKNUM(A54)</f>
        <v>19</v>
      </c>
      <c r="C54" s="9">
        <v>3</v>
      </c>
      <c r="D54" s="29" t="s">
        <v>8</v>
      </c>
      <c r="E54" s="11" t="s">
        <v>58</v>
      </c>
      <c r="F54" s="11"/>
      <c r="I54" s="12"/>
    </row>
    <row r="55" spans="1:9" x14ac:dyDescent="0.25">
      <c r="A55" s="4">
        <v>45057</v>
      </c>
      <c r="B55" s="16">
        <f t="shared" ref="B55" si="37">WEEKNUM(A55)</f>
        <v>19</v>
      </c>
      <c r="C55" s="9">
        <v>3</v>
      </c>
      <c r="D55" s="29" t="s">
        <v>9</v>
      </c>
      <c r="E55" s="11" t="s">
        <v>57</v>
      </c>
      <c r="F55" s="11"/>
      <c r="I55" s="12"/>
    </row>
    <row r="56" spans="1:9" x14ac:dyDescent="0.25">
      <c r="A56" s="4">
        <v>45055</v>
      </c>
      <c r="B56" s="16">
        <f t="shared" ref="B56" si="38">WEEKNUM(A56)</f>
        <v>19</v>
      </c>
      <c r="C56" s="9">
        <v>0.75</v>
      </c>
      <c r="D56" s="29" t="s">
        <v>8</v>
      </c>
      <c r="E56" s="11" t="s">
        <v>56</v>
      </c>
      <c r="F56" s="11"/>
      <c r="I56" s="12"/>
    </row>
    <row r="57" spans="1:9" ht="30" x14ac:dyDescent="0.25">
      <c r="A57" s="4">
        <v>45055</v>
      </c>
      <c r="B57" s="16">
        <f t="shared" ref="B57" si="39">WEEKNUM(A57)</f>
        <v>19</v>
      </c>
      <c r="C57" s="9">
        <v>1</v>
      </c>
      <c r="D57" s="29" t="s">
        <v>6</v>
      </c>
      <c r="E57" s="11" t="s">
        <v>49</v>
      </c>
      <c r="F57" s="11"/>
      <c r="I57" s="12"/>
    </row>
    <row r="58" spans="1:9" ht="30" x14ac:dyDescent="0.25">
      <c r="A58" s="4">
        <v>45055</v>
      </c>
      <c r="B58" s="16">
        <f t="shared" ref="B58" si="40">WEEKNUM(A58)</f>
        <v>19</v>
      </c>
      <c r="C58" s="9">
        <v>0.75</v>
      </c>
      <c r="D58" s="29" t="s">
        <v>10</v>
      </c>
      <c r="E58" s="11" t="s">
        <v>50</v>
      </c>
      <c r="F58" s="11"/>
      <c r="I58" s="12"/>
    </row>
    <row r="59" spans="1:9" ht="45" x14ac:dyDescent="0.25">
      <c r="A59" s="4">
        <v>45055</v>
      </c>
      <c r="B59" s="16">
        <f t="shared" ref="B59" si="41">WEEKNUM(A59)</f>
        <v>19</v>
      </c>
      <c r="C59" s="9">
        <v>1.75</v>
      </c>
      <c r="D59" s="29" t="s">
        <v>8</v>
      </c>
      <c r="E59" s="11" t="s">
        <v>51</v>
      </c>
      <c r="F59" s="11"/>
      <c r="I59" s="12"/>
    </row>
    <row r="60" spans="1:9" ht="30" x14ac:dyDescent="0.25">
      <c r="A60" s="4">
        <v>45055</v>
      </c>
      <c r="B60" s="16">
        <f t="shared" ref="B60" si="42">WEEKNUM(A60)</f>
        <v>19</v>
      </c>
      <c r="C60" s="9">
        <v>1</v>
      </c>
      <c r="D60" s="29" t="s">
        <v>8</v>
      </c>
      <c r="E60" s="11" t="s">
        <v>52</v>
      </c>
      <c r="F60" s="11"/>
      <c r="I60" s="12"/>
    </row>
    <row r="61" spans="1:9" x14ac:dyDescent="0.25">
      <c r="A61" s="4">
        <v>45054</v>
      </c>
      <c r="B61" s="16">
        <f t="shared" ref="B61" si="43">WEEKNUM(A61)</f>
        <v>19</v>
      </c>
      <c r="C61" s="9">
        <v>1.3</v>
      </c>
      <c r="D61" s="29" t="s">
        <v>6</v>
      </c>
      <c r="E61" s="11" t="s">
        <v>48</v>
      </c>
      <c r="F61" s="11"/>
      <c r="I61" s="12"/>
    </row>
    <row r="62" spans="1:9" ht="62.25" customHeight="1" x14ac:dyDescent="0.25">
      <c r="A62" s="4">
        <v>45054</v>
      </c>
      <c r="B62" s="16">
        <f t="shared" ref="B62" si="44">WEEKNUM(A62)</f>
        <v>19</v>
      </c>
      <c r="C62" s="9">
        <v>4.25</v>
      </c>
      <c r="D62" s="29" t="s">
        <v>6</v>
      </c>
      <c r="E62" s="11" t="s">
        <v>46</v>
      </c>
      <c r="F62" s="11" t="s">
        <v>47</v>
      </c>
      <c r="I62" s="12"/>
    </row>
    <row r="63" spans="1:9" x14ac:dyDescent="0.25">
      <c r="A63" s="4">
        <v>45054</v>
      </c>
      <c r="B63" s="16">
        <f>WEEKNUM(A63)</f>
        <v>19</v>
      </c>
      <c r="C63" s="9">
        <v>0.45</v>
      </c>
      <c r="D63" s="29" t="s">
        <v>6</v>
      </c>
      <c r="E63" s="11" t="s">
        <v>45</v>
      </c>
      <c r="F63" s="11"/>
      <c r="I63" s="12"/>
    </row>
    <row r="64" spans="1:9" x14ac:dyDescent="0.25">
      <c r="A64" s="33" t="s">
        <v>69</v>
      </c>
      <c r="B64" s="34"/>
      <c r="C64" s="34"/>
      <c r="D64" s="35"/>
      <c r="E64" s="31" t="s">
        <v>66</v>
      </c>
      <c r="F64" s="32"/>
      <c r="I64" s="12"/>
    </row>
    <row r="65" spans="1:9" x14ac:dyDescent="0.25">
      <c r="A65" s="4">
        <v>45051</v>
      </c>
      <c r="B65" s="16">
        <f t="shared" ref="B65" si="45">WEEKNUM(A65)</f>
        <v>18</v>
      </c>
      <c r="C65" s="9">
        <v>1.29</v>
      </c>
      <c r="D65" s="29" t="s">
        <v>10</v>
      </c>
      <c r="E65" s="11" t="s">
        <v>44</v>
      </c>
      <c r="F65" s="11"/>
      <c r="I65" s="12"/>
    </row>
    <row r="66" spans="1:9" ht="30" x14ac:dyDescent="0.25">
      <c r="A66" s="4">
        <v>45051</v>
      </c>
      <c r="B66" s="16">
        <f t="shared" ref="B66" si="46">WEEKNUM(A66)</f>
        <v>18</v>
      </c>
      <c r="C66" s="9">
        <v>1.75</v>
      </c>
      <c r="D66" s="29" t="s">
        <v>6</v>
      </c>
      <c r="E66" s="11" t="s">
        <v>43</v>
      </c>
      <c r="F66" s="11"/>
      <c r="I66" s="12"/>
    </row>
    <row r="67" spans="1:9" ht="30" x14ac:dyDescent="0.25">
      <c r="A67" s="4">
        <v>45051</v>
      </c>
      <c r="B67" s="16">
        <f t="shared" ref="B67" si="47">WEEKNUM(A67)</f>
        <v>18</v>
      </c>
      <c r="C67" s="9">
        <v>0.75</v>
      </c>
      <c r="D67" s="29" t="s">
        <v>12</v>
      </c>
      <c r="E67" s="11" t="s">
        <v>40</v>
      </c>
      <c r="F67" s="11"/>
      <c r="I67" s="12"/>
    </row>
    <row r="68" spans="1:9" ht="60" x14ac:dyDescent="0.25">
      <c r="A68" s="4">
        <v>45051</v>
      </c>
      <c r="B68" s="16">
        <f t="shared" ref="B68" si="48">WEEKNUM(A68)</f>
        <v>18</v>
      </c>
      <c r="C68" s="9">
        <v>1.5</v>
      </c>
      <c r="D68" s="29" t="s">
        <v>8</v>
      </c>
      <c r="E68" s="11" t="s">
        <v>42</v>
      </c>
      <c r="F68" s="11" t="s">
        <v>41</v>
      </c>
      <c r="I68" s="12"/>
    </row>
    <row r="69" spans="1:9" x14ac:dyDescent="0.25">
      <c r="A69" s="4">
        <v>45050</v>
      </c>
      <c r="B69" s="16">
        <f t="shared" ref="B69" si="49">WEEKNUM(A69)</f>
        <v>18</v>
      </c>
      <c r="C69" s="9">
        <v>0.75</v>
      </c>
      <c r="D69" s="29" t="s">
        <v>6</v>
      </c>
      <c r="E69" s="11" t="s">
        <v>39</v>
      </c>
      <c r="F69" s="11"/>
      <c r="I69" s="12"/>
    </row>
    <row r="70" spans="1:9" x14ac:dyDescent="0.25">
      <c r="A70" s="4">
        <v>45050</v>
      </c>
      <c r="B70" s="16">
        <f t="shared" ref="B70" si="50">WEEKNUM(A70)</f>
        <v>18</v>
      </c>
      <c r="C70" s="9">
        <v>1.31</v>
      </c>
      <c r="D70" s="29" t="s">
        <v>8</v>
      </c>
      <c r="E70" s="11" t="s">
        <v>38</v>
      </c>
      <c r="F70" s="11"/>
      <c r="I70" s="12"/>
    </row>
    <row r="71" spans="1:9" x14ac:dyDescent="0.25">
      <c r="A71" s="4">
        <v>45050</v>
      </c>
      <c r="B71" s="16">
        <f t="shared" ref="B71" si="51">WEEKNUM(A71)</f>
        <v>18</v>
      </c>
      <c r="C71" s="9">
        <v>0.5</v>
      </c>
      <c r="D71" s="29" t="s">
        <v>10</v>
      </c>
      <c r="E71" s="11" t="s">
        <v>37</v>
      </c>
      <c r="F71" s="11"/>
      <c r="I71" s="12"/>
    </row>
    <row r="72" spans="1:9" ht="30" x14ac:dyDescent="0.25">
      <c r="A72" s="4">
        <v>45050</v>
      </c>
      <c r="B72" s="16">
        <f t="shared" ref="B72" si="52">WEEKNUM(A72)</f>
        <v>18</v>
      </c>
      <c r="C72" s="9">
        <v>1.5</v>
      </c>
      <c r="D72" s="29" t="s">
        <v>10</v>
      </c>
      <c r="E72" s="11" t="s">
        <v>36</v>
      </c>
      <c r="F72" s="11"/>
      <c r="I72" s="12"/>
    </row>
    <row r="73" spans="1:9" x14ac:dyDescent="0.25">
      <c r="A73" s="4">
        <v>45050</v>
      </c>
      <c r="B73" s="16">
        <f t="shared" ref="B73" si="53">WEEKNUM(A73)</f>
        <v>18</v>
      </c>
      <c r="C73" s="9">
        <v>0.5</v>
      </c>
      <c r="D73" s="29" t="s">
        <v>6</v>
      </c>
      <c r="E73" s="11" t="s">
        <v>35</v>
      </c>
      <c r="F73" s="11"/>
      <c r="I73" s="12"/>
    </row>
    <row r="74" spans="1:9" x14ac:dyDescent="0.25">
      <c r="A74" s="4">
        <v>45050</v>
      </c>
      <c r="B74" s="16">
        <f t="shared" ref="B74:B80" si="54">WEEKNUM(A74)</f>
        <v>18</v>
      </c>
      <c r="C74" s="9">
        <v>0.4</v>
      </c>
      <c r="D74" s="29" t="s">
        <v>6</v>
      </c>
      <c r="E74" s="11" t="s">
        <v>34</v>
      </c>
      <c r="F74" s="11"/>
      <c r="I74" s="12"/>
    </row>
    <row r="75" spans="1:9" ht="30" x14ac:dyDescent="0.25">
      <c r="A75" s="4">
        <v>45050</v>
      </c>
      <c r="B75" s="16">
        <f t="shared" si="54"/>
        <v>18</v>
      </c>
      <c r="C75" s="9">
        <v>0.25</v>
      </c>
      <c r="D75" s="29" t="s">
        <v>6</v>
      </c>
      <c r="E75" s="11" t="s">
        <v>33</v>
      </c>
      <c r="F75" s="11" t="s">
        <v>32</v>
      </c>
      <c r="I75" s="12"/>
    </row>
    <row r="76" spans="1:9" x14ac:dyDescent="0.25">
      <c r="A76" s="4">
        <v>45050</v>
      </c>
      <c r="B76" s="16">
        <f t="shared" si="54"/>
        <v>18</v>
      </c>
      <c r="C76" s="9">
        <v>0.5</v>
      </c>
      <c r="D76" s="29" t="s">
        <v>6</v>
      </c>
      <c r="E76" s="11" t="s">
        <v>31</v>
      </c>
      <c r="F76" s="11"/>
      <c r="I76" s="12"/>
    </row>
    <row r="77" spans="1:9" ht="30" x14ac:dyDescent="0.25">
      <c r="A77" s="4">
        <v>45048</v>
      </c>
      <c r="B77" s="16">
        <f t="shared" si="54"/>
        <v>18</v>
      </c>
      <c r="C77" s="9">
        <v>1.5</v>
      </c>
      <c r="D77" s="29" t="s">
        <v>6</v>
      </c>
      <c r="E77" s="11" t="s">
        <v>30</v>
      </c>
      <c r="F77" s="11"/>
      <c r="I77" s="12"/>
    </row>
    <row r="78" spans="1:9" ht="45" x14ac:dyDescent="0.25">
      <c r="A78" s="4">
        <v>45048</v>
      </c>
      <c r="B78" s="16">
        <f t="shared" si="54"/>
        <v>18</v>
      </c>
      <c r="C78" s="9">
        <v>2.5</v>
      </c>
      <c r="D78" s="29" t="s">
        <v>6</v>
      </c>
      <c r="E78" s="11" t="s">
        <v>29</v>
      </c>
      <c r="F78" s="11"/>
      <c r="I78" s="12"/>
    </row>
    <row r="79" spans="1:9" ht="45" x14ac:dyDescent="0.25">
      <c r="A79" s="4">
        <v>45048</v>
      </c>
      <c r="B79" s="16">
        <f t="shared" si="54"/>
        <v>18</v>
      </c>
      <c r="C79" s="9">
        <v>0.5</v>
      </c>
      <c r="D79" s="29" t="s">
        <v>12</v>
      </c>
      <c r="E79" s="11" t="s">
        <v>28</v>
      </c>
      <c r="F79" s="11"/>
      <c r="I79" s="12"/>
    </row>
    <row r="80" spans="1:9" x14ac:dyDescent="0.25">
      <c r="A80" s="4">
        <v>45048</v>
      </c>
      <c r="B80" s="16">
        <f t="shared" si="54"/>
        <v>18</v>
      </c>
      <c r="C80" s="9">
        <v>0.33333299999999999</v>
      </c>
      <c r="D80" s="29" t="s">
        <v>6</v>
      </c>
      <c r="E80" s="11" t="s">
        <v>27</v>
      </c>
      <c r="F80" s="11"/>
      <c r="I80" s="12"/>
    </row>
    <row r="81" spans="1:9" x14ac:dyDescent="0.25">
      <c r="A81" s="24"/>
      <c r="I81" s="12"/>
    </row>
    <row r="82" spans="1:9" x14ac:dyDescent="0.25">
      <c r="A82" s="24"/>
      <c r="I82" s="12"/>
    </row>
    <row r="83" spans="1:9" x14ac:dyDescent="0.25">
      <c r="A83" s="24"/>
      <c r="I83" s="12"/>
    </row>
    <row r="84" spans="1:9" x14ac:dyDescent="0.25">
      <c r="A84" s="24"/>
      <c r="I84" s="12"/>
    </row>
    <row r="85" spans="1:9" x14ac:dyDescent="0.25">
      <c r="A85" s="24"/>
      <c r="I85" s="12"/>
    </row>
    <row r="86" spans="1:9" x14ac:dyDescent="0.25">
      <c r="A86" s="24"/>
    </row>
    <row r="87" spans="1:9" x14ac:dyDescent="0.25">
      <c r="A87" s="24"/>
    </row>
    <row r="88" spans="1:9" x14ac:dyDescent="0.25">
      <c r="A88" s="24"/>
    </row>
    <row r="89" spans="1:9" x14ac:dyDescent="0.25">
      <c r="A89" s="24"/>
    </row>
    <row r="90" spans="1:9" x14ac:dyDescent="0.25">
      <c r="A90" s="24"/>
    </row>
    <row r="91" spans="1:9" x14ac:dyDescent="0.25">
      <c r="A91" s="24"/>
    </row>
    <row r="92" spans="1:9" x14ac:dyDescent="0.25">
      <c r="A92" s="24"/>
    </row>
    <row r="93" spans="1:9" x14ac:dyDescent="0.25">
      <c r="A93" s="24"/>
    </row>
    <row r="94" spans="1:9" x14ac:dyDescent="0.25">
      <c r="A94" s="24"/>
    </row>
  </sheetData>
  <sheetProtection selectLockedCells="1"/>
  <mergeCells count="25">
    <mergeCell ref="A22:D22"/>
    <mergeCell ref="E22:F22"/>
    <mergeCell ref="A16:D16"/>
    <mergeCell ref="E16:F16"/>
    <mergeCell ref="A1:F2"/>
    <mergeCell ref="B4:C4"/>
    <mergeCell ref="B5:C5"/>
    <mergeCell ref="B6:C6"/>
    <mergeCell ref="B7:C7"/>
    <mergeCell ref="A12:D12"/>
    <mergeCell ref="E12:F12"/>
    <mergeCell ref="A10:D10"/>
    <mergeCell ref="E10:F10"/>
    <mergeCell ref="E27:F27"/>
    <mergeCell ref="A64:D64"/>
    <mergeCell ref="E64:F64"/>
    <mergeCell ref="A50:D50"/>
    <mergeCell ref="E50:F50"/>
    <mergeCell ref="A43:D43"/>
    <mergeCell ref="E43:F43"/>
    <mergeCell ref="A37:D37"/>
    <mergeCell ref="E37:F37"/>
    <mergeCell ref="A34:D34"/>
    <mergeCell ref="E34:F34"/>
    <mergeCell ref="A27:D27"/>
  </mergeCells>
  <pageMargins left="0.23622047244094491" right="0.23622047244094491" top="0.74803149606299213" bottom="0.74803149606299213" header="0.31496062992125984" footer="0.31496062992125984"/>
  <pageSetup paperSize="9" scale="62" fitToHeight="0" orientation="landscape"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D65:D94 D51:D63 D44:D49 D38:D42 D35:D36 D28:D33 D23:D26 D17:D21 D13:D15 D9 D11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6"/>
  <sheetViews>
    <sheetView workbookViewId="0">
      <selection activeCell="F11" sqref="F11"/>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36" t="s">
        <v>26</v>
      </c>
      <c r="B1" s="36"/>
      <c r="C1" s="36"/>
      <c r="D1" s="36"/>
      <c r="E1" s="36"/>
      <c r="F1" s="36"/>
    </row>
    <row r="2" spans="1:9" ht="20.25" customHeight="1" x14ac:dyDescent="0.25">
      <c r="A2" s="36"/>
      <c r="B2" s="36"/>
      <c r="C2" s="36"/>
      <c r="D2" s="36"/>
      <c r="E2" s="36"/>
      <c r="F2" s="36"/>
      <c r="I2" s="12"/>
    </row>
    <row r="3" spans="1:9" ht="17.25" customHeight="1" x14ac:dyDescent="0.25">
      <c r="A3" s="18" t="s">
        <v>14</v>
      </c>
      <c r="B3" s="19" t="s">
        <v>15</v>
      </c>
      <c r="C3" s="20"/>
      <c r="D3" s="20"/>
      <c r="E3" s="20"/>
      <c r="F3" s="20"/>
      <c r="I3" s="12"/>
    </row>
    <row r="4" spans="1:9" ht="15.75" x14ac:dyDescent="0.25">
      <c r="A4" s="21" t="s">
        <v>16</v>
      </c>
      <c r="B4" s="37" t="s">
        <v>17</v>
      </c>
      <c r="C4" s="37"/>
      <c r="D4" s="22"/>
      <c r="E4" s="22"/>
      <c r="F4" s="22"/>
      <c r="I4" s="12"/>
    </row>
    <row r="5" spans="1:9" ht="15.75" x14ac:dyDescent="0.25">
      <c r="A5" s="21" t="s">
        <v>18</v>
      </c>
      <c r="B5" s="37" t="s">
        <v>19</v>
      </c>
      <c r="C5" s="37"/>
      <c r="D5" s="22"/>
      <c r="E5" s="22"/>
      <c r="F5" s="22"/>
      <c r="I5" s="12"/>
    </row>
    <row r="6" spans="1:9" ht="15.75" x14ac:dyDescent="0.25">
      <c r="A6" s="21" t="s">
        <v>20</v>
      </c>
      <c r="B6" s="37" t="s">
        <v>54</v>
      </c>
      <c r="C6" s="37"/>
      <c r="D6" s="22"/>
      <c r="E6" s="22"/>
      <c r="F6" s="22"/>
      <c r="I6" s="12"/>
    </row>
    <row r="7" spans="1:9" ht="15.75" x14ac:dyDescent="0.25">
      <c r="A7" s="23"/>
      <c r="B7" s="37" t="s">
        <v>55</v>
      </c>
      <c r="C7" s="37"/>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30" x14ac:dyDescent="0.25">
      <c r="A10" s="4">
        <v>45061</v>
      </c>
      <c r="B10" s="16">
        <f>WEEKNUM(A10)</f>
        <v>20</v>
      </c>
      <c r="C10" s="9">
        <v>0.5</v>
      </c>
      <c r="D10" s="10" t="s">
        <v>12</v>
      </c>
      <c r="E10" s="11" t="s">
        <v>64</v>
      </c>
      <c r="F10" s="11"/>
      <c r="I10" s="12"/>
    </row>
    <row r="11" spans="1:9" ht="45" x14ac:dyDescent="0.25">
      <c r="A11" s="4">
        <v>45054</v>
      </c>
      <c r="B11" s="16">
        <f>WEEKNUM(A11)</f>
        <v>19</v>
      </c>
      <c r="C11" s="9">
        <v>0.5</v>
      </c>
      <c r="D11" s="10" t="s">
        <v>12</v>
      </c>
      <c r="E11" s="11" t="s">
        <v>53</v>
      </c>
      <c r="F11" s="11"/>
      <c r="I11" s="12"/>
    </row>
    <row r="12" spans="1:9" ht="45" x14ac:dyDescent="0.25">
      <c r="A12" s="4">
        <v>45048</v>
      </c>
      <c r="B12" s="16">
        <f>WEEKNUM(A12)</f>
        <v>18</v>
      </c>
      <c r="C12" s="9">
        <v>0.5</v>
      </c>
      <c r="D12" s="10" t="s">
        <v>12</v>
      </c>
      <c r="E12" s="11" t="s">
        <v>28</v>
      </c>
      <c r="F12" s="11"/>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c r="I19" s="12"/>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row r="26" spans="1:9" x14ac:dyDescent="0.25">
      <c r="A26" s="24"/>
    </row>
  </sheetData>
  <mergeCells count="5">
    <mergeCell ref="A1:F2"/>
    <mergeCell ref="B4:C4"/>
    <mergeCell ref="B5:C5"/>
    <mergeCell ref="B6:C6"/>
    <mergeCell ref="B7:C7"/>
  </mergeCells>
  <pageMargins left="0.25" right="0.25" top="0.75" bottom="0.75" header="0.3" footer="0.3"/>
  <pageSetup paperSize="9" scale="6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6"/>
  <sheetViews>
    <sheetView workbookViewId="0">
      <selection activeCell="E17" sqref="E17"/>
    </sheetView>
  </sheetViews>
  <sheetFormatPr baseColWidth="10" defaultRowHeight="15" x14ac:dyDescent="0.25"/>
  <cols>
    <col min="1" max="1" width="26.7109375" customWidth="1"/>
    <col min="3" max="3" width="17.28515625" customWidth="1"/>
    <col min="6" max="6" width="51.85546875" customWidth="1"/>
  </cols>
  <sheetData>
    <row r="1" spans="1:6" x14ac:dyDescent="0.25">
      <c r="A1" s="36" t="s">
        <v>22</v>
      </c>
      <c r="B1" s="36"/>
      <c r="C1" s="36"/>
      <c r="D1" s="36"/>
      <c r="E1" s="36"/>
      <c r="F1" s="36"/>
    </row>
    <row r="2" spans="1:6" x14ac:dyDescent="0.25">
      <c r="A2" s="36"/>
      <c r="B2" s="36"/>
      <c r="C2" s="36"/>
      <c r="D2" s="36"/>
      <c r="E2" s="36"/>
      <c r="F2" s="36"/>
    </row>
    <row r="3" spans="1:6" ht="20.25" customHeight="1" x14ac:dyDescent="0.25">
      <c r="A3" s="18" t="s">
        <v>14</v>
      </c>
      <c r="B3" s="19" t="s">
        <v>15</v>
      </c>
      <c r="C3" s="20"/>
      <c r="D3" s="20"/>
      <c r="E3" s="20"/>
      <c r="F3" s="20"/>
    </row>
    <row r="4" spans="1:6" ht="15.75" x14ac:dyDescent="0.25">
      <c r="A4" s="21" t="s">
        <v>16</v>
      </c>
      <c r="B4" s="37" t="s">
        <v>17</v>
      </c>
      <c r="C4" s="37"/>
      <c r="D4" s="22"/>
      <c r="E4" s="38"/>
      <c r="F4" s="38"/>
    </row>
    <row r="5" spans="1:6" ht="15.75" x14ac:dyDescent="0.25">
      <c r="A5" s="21" t="s">
        <v>18</v>
      </c>
      <c r="B5" s="37" t="s">
        <v>19</v>
      </c>
      <c r="C5" s="37"/>
      <c r="D5" s="22"/>
      <c r="E5" s="38"/>
      <c r="F5" s="38"/>
    </row>
    <row r="6" spans="1:6" ht="15.75" x14ac:dyDescent="0.25">
      <c r="A6" s="21" t="s">
        <v>20</v>
      </c>
      <c r="B6" s="37" t="s">
        <v>54</v>
      </c>
      <c r="C6" s="37"/>
      <c r="D6" s="22"/>
      <c r="E6" s="38"/>
      <c r="F6" s="38"/>
    </row>
    <row r="7" spans="1:6" ht="15.75" x14ac:dyDescent="0.25">
      <c r="A7" s="23"/>
      <c r="B7" s="37" t="s">
        <v>55</v>
      </c>
      <c r="C7" s="37"/>
      <c r="D7" s="22"/>
      <c r="E7" s="38"/>
      <c r="F7" s="38"/>
    </row>
    <row r="8" spans="1:6" ht="15.75" x14ac:dyDescent="0.25">
      <c r="A8" s="25" t="s">
        <v>24</v>
      </c>
      <c r="B8" s="26">
        <v>90</v>
      </c>
    </row>
    <row r="9" spans="1:6" ht="15.75" x14ac:dyDescent="0.25">
      <c r="A9" s="25" t="s">
        <v>23</v>
      </c>
      <c r="B9" s="28">
        <f>SUM('Journal de travail'!C1:C624)</f>
        <v>85.503333000000012</v>
      </c>
    </row>
    <row r="10" spans="1:6" x14ac:dyDescent="0.25">
      <c r="A10" s="27" t="s">
        <v>25</v>
      </c>
      <c r="B10" s="27">
        <f>B9*100/B8</f>
        <v>95.003703333333362</v>
      </c>
    </row>
    <row r="12" spans="1:6" x14ac:dyDescent="0.25">
      <c r="A12">
        <f>B12*100/B8</f>
        <v>8.3333333333333339</v>
      </c>
      <c r="B12">
        <f>SUMIF('Journal de travail'!D11:D780, "Tests", 'Journal de travail'!C11:C780)</f>
        <v>7.5</v>
      </c>
      <c r="C12" t="s">
        <v>114</v>
      </c>
    </row>
    <row r="13" spans="1:6" x14ac:dyDescent="0.25">
      <c r="A13">
        <f>B13*100/B8</f>
        <v>21.370369999999998</v>
      </c>
      <c r="B13">
        <f>SUMIF('Journal de travail'!D13:D781, "Analyse", 'Journal de travail'!C13:C781)</f>
        <v>19.233332999999998</v>
      </c>
      <c r="C13" t="s">
        <v>113</v>
      </c>
    </row>
    <row r="14" spans="1:6" x14ac:dyDescent="0.25">
      <c r="A14">
        <f>B14*100/B8</f>
        <v>3.8888888888888888</v>
      </c>
      <c r="B14">
        <f>SUMIF('Journal de travail'!D14:D782, "Meeting", 'Journal de travail'!C14:C782)</f>
        <v>3.5</v>
      </c>
      <c r="C14" t="s">
        <v>12</v>
      </c>
    </row>
    <row r="15" spans="1:6" x14ac:dyDescent="0.25">
      <c r="A15">
        <f>B15*100/B8</f>
        <v>39.977777777777781</v>
      </c>
      <c r="B15">
        <f>SUMIF('Journal de travail'!D15:D783, "Implémentation", 'Journal de travail'!C15:C783)</f>
        <v>35.980000000000004</v>
      </c>
      <c r="C15" t="s">
        <v>115</v>
      </c>
    </row>
    <row r="16" spans="1:6" x14ac:dyDescent="0.25">
      <c r="A16">
        <f>B16*100/B8</f>
        <v>13.933333333333334</v>
      </c>
      <c r="B16">
        <f>SUMIF('Journal de travail'!D16:D784, "Documentation", 'Journal de travail'!C16:C784)</f>
        <v>12.54</v>
      </c>
      <c r="C16" t="s">
        <v>10</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8"/>
  <sheetViews>
    <sheetView workbookViewId="0">
      <selection activeCell="A12" sqref="A12"/>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row r="8" spans="1:1" x14ac:dyDescent="0.25">
      <c r="A8" s="1" t="s">
        <v>74</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52F1D8-BC39-43C0-AFD5-9D59D80C8BCD}">
  <ds:schemaRefs>
    <ds:schemaRef ds:uri="http://schemas.microsoft.com/sharepoint/v3/contenttype/forms"/>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FF8A9A8-A00A-4ABC-BBD7-3D54D09AED55}">
  <ds:schemaRefs>
    <ds:schemaRef ds:uri="http://schemas.microsoft.com/office/2006/documentManagement/types"/>
    <ds:schemaRef ds:uri="http://schemas.microsoft.com/office/2006/metadata/properties"/>
    <ds:schemaRef ds:uri="http://schemas.microsoft.com/office/infopath/2007/PartnerControls"/>
    <ds:schemaRef ds:uri="http://purl.org/dc/terms/"/>
    <ds:schemaRef ds:uri="http://www.w3.org/XML/1998/namespace"/>
    <ds:schemaRef ds:uri="http://schemas.openxmlformats.org/package/2006/metadata/core-properties"/>
    <ds:schemaRef ds:uri="http://purl.org/dc/dcmitype/"/>
    <ds:schemaRef ds:uri="c00db93e-a012-41a1-8dae-1f2fb8b40d56"/>
    <ds:schemaRef ds:uri="0119da2b-60ce-4773-88fa-ebab2cde1f55"/>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2023-06-01T14:49:45Z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
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587C83C4-B23F-4C49-ADC6-FF05A684B5B8}"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7" l="1"/>
  <c r="B10" i="7" s="1"/>
  <c r="B9" i="1"/>
  <c r="B10" i="1"/>
  <c r="B11" i="1"/>
  <c r="B10" i="8"/>
  <c r="B9" i="8"/>
  <c r="B12" i="1"/>
  <c r="B13" i="1"/>
  <c r="B14" i="1"/>
</calcChain>
</file>

<file path=xl/sharedStrings.xml><?xml version="1.0" encoding="utf-8"?>
<sst xmlns="http://schemas.openxmlformats.org/spreadsheetml/2006/main" count="67" uniqueCount="32">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</sst>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180975</xdr:rowOff>
    </xdr:from>
    <xdr:to>
      <xdr:col>5</xdr:col>
      <xdr:colOff>4866410</xdr:colOff>
      <xdr:row>4</xdr:row>
      <xdr:rowOff>15946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96950" y="180975"/>
          <a:ext cx="1275485" cy="8160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3609975</xdr:colOff>
      <xdr:row>0</xdr:row>
      <xdr:rowOff>204356</xdr:rowOff>
    </xdr:from>
    <xdr:to>
      <xdr:col>5</xdr:col>
      <xdr:colOff>4885460</xdr:colOff>
      <xdr:row>4</xdr:row>
      <xdr:rowOff>39327</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0" y="204356"/>
          <a:ext cx="1275485" cy="816046"/>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8"/>
  <sheetViews>
    <sheetView tabSelected="1" zoomScaleNormal="100" workbookViewId="0">
      <selection activeCell="D17" sqref="D17"/>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5"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9" t="s">
        <v>13</v>
      </c>
      <c r="B1" s="29"/>
      <c r="C1" s="29"/>
      <c r="D1" s="29"/>
      <c r="E1" s="29"/>
      <c r="F1" s="29"/>
    </row>
    <row r="2" spans="1:9" ht="20.25" customHeight="1" x14ac:dyDescent="0.25">
      <c r="A2" s="29"/>
      <c r="B2" s="29"/>
      <c r="C2" s="29"/>
      <c r="D2" s="29"/>
      <c r="E2" s="29"/>
      <c r="F2" s="29"/>
      <c r="I2" s="12"/>
    </row>
    <row r="3" spans="1:9" ht="17.25" customHeight="1" x14ac:dyDescent="0.25">
      <c r="A3" s="18" t="s">
        <v>14</v>
      </c>
      <c r="B3" s="19" t="s">
        <v>15</v>
      </c>
      <c r="C3" s="20"/>
      <c r="D3" s="20"/>
      <c r="E3" s="20"/>
      <c r="F3" s="20"/>
      <c r="I3" s="12"/>
    </row>
    <row r="4" spans="1:9" ht="15.75" x14ac:dyDescent="0.25">
      <c r="A4" s="21" t="s">
        <v>16</v>
      </c>
      <c r="B4" s="30" t="s">
        <v>17</v>
      </c>
      <c r="C4" s="30"/>
      <c r="D4" s="22"/>
      <c r="E4" s="22"/>
      <c r="F4" s="22"/>
      <c r="I4" s="12"/>
    </row>
    <row r="5" spans="1:9" ht="15.75" x14ac:dyDescent="0.25">
      <c r="A5" s="21" t="s">
        <v>18</v>
      </c>
      <c r="B5" s="30" t="s">
        <v>19</v>
      </c>
      <c r="C5" s="30"/>
      <c r="D5" s="22"/>
      <c r="E5" s="22"/>
      <c r="F5" s="22"/>
      <c r="I5" s="12"/>
    </row>
    <row r="6" spans="1:9" ht="15.75" x14ac:dyDescent="0.25">
      <c r="A6" s="21" t="s">
        <v>20</v>
      </c>
      <c r="B6" s="30"/>
      <c r="C6" s="30"/>
      <c r="D6" s="22"/>
      <c r="E6" s="22"/>
      <c r="F6" s="22"/>
      <c r="I6" s="12"/>
    </row>
    <row r="7" spans="1:9" ht="15.75" x14ac:dyDescent="0.25">
      <c r="A7" s="23"/>
      <c r="B7" s="30"/>
      <c r="C7" s="30"/>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x14ac:dyDescent="0.25">
      <c r="A10" s="4">
        <v>44957</v>
      </c>
      <c r="B10" s="16">
        <f>WEEKNUM(A10)</f>
        <v>5</v>
      </c>
      <c r="C10" s="9">
        <v>0.5</v>
      </c>
      <c r="D10" s="10" t="s">
        <v>6</v>
      </c>
      <c r="E10" s="11" t="s">
        <v>31</v>
      </c>
      <c r="F10" s="11" t="s">
        <v>21</v>
      </c>
      <c r="I10" s="12"/>
    </row>
    <row r="11" spans="1:9" ht="30" x14ac:dyDescent="0.25">
      <c r="A11" s="4">
        <v>44957</v>
      </c>
      <c r="B11" s="16">
        <f>WEEKNUM(A11)</f>
        <v>5</v>
      </c>
      <c r="C11" s="9">
        <v>1.5</v>
      </c>
      <c r="D11" s="10" t="s">
        <v>6</v>
      </c>
      <c r="E11" s="11" t="s">
        <v>30</v>
      </c>
      <c r="F11" s="11" t="s">
        <v>21</v>
      </c>
      <c r="I11" s="12"/>
    </row>
    <row r="12" spans="1:9" ht="45" x14ac:dyDescent="0.25">
      <c r="A12" s="4">
        <v>45048</v>
      </c>
      <c r="B12" s="16">
        <f>WEEKNUM(A12)</f>
        <v>18</v>
      </c>
      <c r="C12" s="9">
        <v>2.25</v>
      </c>
      <c r="D12" s="10" t="s">
        <v>6</v>
      </c>
      <c r="E12" s="11" t="s">
        <v>29</v>
      </c>
      <c r="F12" s="11" t="s">
        <v>21</v>
      </c>
      <c r="I12" s="12"/>
    </row>
    <row r="13" spans="1:9" ht="45" x14ac:dyDescent="0.25">
      <c r="A13" s="4">
        <v>45048</v>
      </c>
      <c r="B13" s="16">
        <f>WEEKNUM(A13)</f>
        <v>18</v>
      </c>
      <c r="C13" s="9">
        <v>0.5</v>
      </c>
      <c r="D13" s="10" t="s">
        <v>12</v>
      </c>
      <c r="E13" s="11" t="s">
        <v>28</v>
      </c>
      <c r="F13" s="11"/>
      <c r="I13" s="12"/>
    </row>
    <row r="14" spans="1:9" x14ac:dyDescent="0.25">
      <c r="A14" s="4">
        <v>45048</v>
      </c>
      <c r="B14" s="16">
        <f>WEEKNUM(A14)</f>
        <v>18</v>
      </c>
      <c r="C14" s="9">
        <v>0.33333299999999999</v>
      </c>
      <c r="D14" s="10" t="s">
        <v>6</v>
      </c>
      <c r="E14" s="11" t="s">
        <v>27</v>
      </c>
      <c r="F14" s="11"/>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c r="I20" s="12"/>
    </row>
    <row r="21" spans="1:9" x14ac:dyDescent="0.25">
      <c r="A21" s="24"/>
      <c r="I21" s="12"/>
    </row>
    <row r="22" spans="1:9" x14ac:dyDescent="0.25">
      <c r="A22" s="24"/>
    </row>
    <row r="23" spans="1:9" x14ac:dyDescent="0.25">
      <c r="A23" s="24"/>
    </row>
    <row r="24" spans="1:9" x14ac:dyDescent="0.25">
      <c r="A24" s="24"/>
    </row>
    <row r="25" spans="1:9" x14ac:dyDescent="0.25">
      <c r="A25" s="24"/>
    </row>
    <row r="26" spans="1:9" x14ac:dyDescent="0.25">
      <c r="A26" s="24"/>
    </row>
    <row r="27" spans="1:9" x14ac:dyDescent="0.25">
      <c r="A27" s="24"/>
    </row>
    <row r="28" spans="1:9" x14ac:dyDescent="0.25">
      <c r="A28" s="24"/>
    </row>
  </sheetData>
  <sheetProtection selectLockedCells="1"/>
  <mergeCells count="5">
    <mergeCell ref="A1:F2"/>
    <mergeCell ref="B4:C4"/>
    <mergeCell ref="B5:C5"/>
    <mergeCell ref="B6:C6"/>
    <mergeCell ref="B7:C7"/>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D9:D28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dimension ref="A1:I24"/>
  <sheetViews>
    <sheetView workbookViewId="0">
      <selection activeCell="E16" sqref="E16"/>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9" t="s">
        <v>26</v>
      </c>
      <c r="B1" s="29"/>
      <c r="C1" s="29"/>
      <c r="D1" s="29"/>
      <c r="E1" s="29"/>
      <c r="F1" s="29"/>
    </row>
    <row r="2" spans="1:9" ht="20.25" customHeight="1" x14ac:dyDescent="0.25">
      <c r="A2" s="29"/>
      <c r="B2" s="29"/>
      <c r="C2" s="29"/>
      <c r="D2" s="29"/>
      <c r="E2" s="29"/>
      <c r="F2" s="29"/>
      <c r="I2" s="12"/>
    </row>
    <row r="3" spans="1:9" ht="17.25" customHeight="1" x14ac:dyDescent="0.25">
      <c r="A3" s="18" t="s">
        <v>14</v>
      </c>
      <c r="B3" s="19" t="s">
        <v>15</v>
      </c>
      <c r="C3" s="20"/>
      <c r="D3" s="20"/>
      <c r="E3" s="20"/>
      <c r="F3" s="20"/>
      <c r="I3" s="12"/>
    </row>
    <row r="4" spans="1:9" ht="15.75" x14ac:dyDescent="0.25">
      <c r="A4" s="21" t="s">
        <v>16</v>
      </c>
      <c r="B4" s="30" t="s">
        <v>17</v>
      </c>
      <c r="C4" s="30"/>
      <c r="D4" s="22"/>
      <c r="E4" s="22"/>
      <c r="F4" s="22"/>
      <c r="I4" s="12"/>
    </row>
    <row r="5" spans="1:9" ht="15.75" x14ac:dyDescent="0.25">
      <c r="A5" s="21" t="s">
        <v>18</v>
      </c>
      <c r="B5" s="30" t="s">
        <v>19</v>
      </c>
      <c r="C5" s="30"/>
      <c r="D5" s="22"/>
      <c r="E5" s="22"/>
      <c r="F5" s="22"/>
      <c r="I5" s="12"/>
    </row>
    <row r="6" spans="1:9" ht="15.75" x14ac:dyDescent="0.25">
      <c r="A6" s="21" t="s">
        <v>20</v>
      </c>
      <c r="B6" s="30"/>
      <c r="C6" s="30"/>
      <c r="D6" s="22"/>
      <c r="E6" s="22"/>
      <c r="F6" s="22"/>
      <c r="I6" s="12"/>
    </row>
    <row r="7" spans="1:9" ht="15.75" x14ac:dyDescent="0.25">
      <c r="A7" s="23"/>
      <c r="B7" s="30"/>
      <c r="C7" s="30"/>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ht="45" x14ac:dyDescent="0.25">
      <c r="A10" s="4">
        <v>45048</v>
      </c>
      <c r="B10" s="16">
        <f>WEEKNUM(A10)</f>
        <v>18</v>
      </c>
      <c r="C10" s="9">
        <v>0.5</v>
      </c>
      <c r="D10" s="10" t="s">
        <v>12</v>
      </c>
      <c r="E10" s="11" t="s">
        <v>28</v>
      </c>
      <c r="F10" s="11"/>
      <c r="I10" s="12"/>
    </row>
    <row r="11" spans="1:9" x14ac:dyDescent="0.25">
      <c r="A11" s="24"/>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sheetData>
  <mergeCells count="5">
    <mergeCell ref="A1:F2"/>
    <mergeCell ref="B4:C4"/>
    <mergeCell ref="B5:C5"/>
    <mergeCell ref="B6:C6"/>
    <mergeCell ref="B7:C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C10" sqref="C10"/>
    </sheetView>
  </sheetViews>
  <sheetFormatPr baseColWidth="10" defaultRowHeight="15" x14ac:dyDescent="0.25"/>
  <cols>
    <col min="1" max="1" width="26.7109375" customWidth="1"/>
    <col min="6" max="6" width="51.85546875" customWidth="1"/>
  </cols>
  <sheetData>
    <row r="1" spans="1:6" x14ac:dyDescent="0.25">
      <c r="A1" s="29" t="s">
        <v>22</v>
      </c>
      <c r="B1" s="29"/>
      <c r="C1" s="29"/>
      <c r="D1" s="29"/>
      <c r="E1" s="29"/>
      <c r="F1" s="29"/>
    </row>
    <row r="2" spans="1:6" x14ac:dyDescent="0.25">
      <c r="A2" s="29"/>
      <c r="B2" s="29"/>
      <c r="C2" s="29"/>
      <c r="D2" s="29"/>
      <c r="E2" s="29"/>
      <c r="F2" s="29"/>
    </row>
    <row r="3" spans="1:6" ht="20.25" customHeight="1" x14ac:dyDescent="0.25">
      <c r="A3" s="18" t="s">
        <v>14</v>
      </c>
      <c r="B3" s="19" t="s">
        <v>15</v>
      </c>
      <c r="C3" s="20"/>
      <c r="D3" s="20"/>
      <c r="E3" s="20"/>
      <c r="F3" s="20"/>
    </row>
    <row r="4" spans="1:6" ht="15.75" x14ac:dyDescent="0.25">
      <c r="A4" s="21" t="s">
        <v>16</v>
      </c>
      <c r="B4" s="30" t="s">
        <v>17</v>
      </c>
      <c r="C4" s="30"/>
      <c r="D4" s="22"/>
      <c r="E4" s="31"/>
      <c r="F4" s="31"/>
    </row>
    <row r="5" spans="1:6" ht="15.75" x14ac:dyDescent="0.25">
      <c r="A5" s="21" t="s">
        <v>18</v>
      </c>
      <c r="B5" s="30" t="s">
        <v>19</v>
      </c>
      <c r="C5" s="30"/>
      <c r="D5" s="22"/>
      <c r="E5" s="31"/>
      <c r="F5" s="31"/>
    </row>
    <row r="6" spans="1:6" ht="15.75" x14ac:dyDescent="0.25">
      <c r="A6" s="21" t="s">
        <v>20</v>
      </c>
      <c r="B6" s="30"/>
      <c r="C6" s="30"/>
      <c r="D6" s="22"/>
      <c r="E6" s="31"/>
      <c r="F6" s="31"/>
    </row>
    <row r="7" spans="1:6" ht="15.75" x14ac:dyDescent="0.25">
      <c r="A7" s="23"/>
      <c r="B7" s="30"/>
      <c r="C7" s="30"/>
      <c r="D7" s="22"/>
      <c r="E7" s="31"/>
      <c r="F7" s="31"/>
    </row>
    <row r="8" spans="1:6" ht="15.75" x14ac:dyDescent="0.25">
      <c r="A8" s="25" t="s">
        <v>24</v>
      </c>
      <c r="B8" s="26">
        <v>90</v>
      </c>
    </row>
    <row r="9" spans="1:6" ht="15.75" x14ac:dyDescent="0.25">
      <c r="A9" s="25" t="s">
        <v>23</v>
      </c>
      <c r="B9" s="28">
        <f>SUM('Journal de travail'!C9:C558)</f>
        <v>5.0833329999999997</v>
      </c>
    </row>
    <row r="10" spans="1:6" x14ac:dyDescent="0.25">
      <c r="A10" s="27" t="s">
        <v>25</v>
      </c>
      <c r="B10" s="27">
        <f>B9*100/B8</f>
        <v>5.6481477777777771</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metadata/properties"/>
    <ds:schemaRef ds:uri="http://purl.org/dc/terms/"/>
    <ds:schemaRef ds:uri="http://schemas.microsoft.com/office/2006/documentManagement/types"/>
    <ds:schemaRef ds:uri="http://schemas.openxmlformats.org/package/2006/metadata/core-properties"/>
    <ds:schemaRef ds:uri="c00db93e-a012-41a1-8dae-1f2fb8b40d56"/>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2023-05-02T14:06:52Z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
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hidePivotFieldList="1"/>
  <xr:revisionPtr revIDLastSave="0" documentId="13_ncr:1_{6CFDBC66-09FB-4BA2-9960-1BEA3DD6EC46}" xr6:coauthVersionLast="47" xr6:coauthVersionMax="47" xr10:uidLastSave="{00000000-0000-0000-0000-000000000000}"/>
  <bookViews>
    <workbookView xWindow="-120" yWindow="-120" windowWidth="29040" windowHeight="15840" xr2:uid="{00000000-000D-0000-FFFF-FFFF00000000}"/>
  </bookViews>
  <sheets>
    <sheet name="Journal de travail" sheetId="1" r:id="rId1"/>
    <sheet name="Journal de board" sheetId="8" r:id="rId2"/>
    <sheet name="Calculs" sheetId="7" r:id="rId3"/>
    <sheet name="Paramètres" sheetId="2" r:id="rId4"/>
  </sheet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1" l="1"/>
  <c r="B9" i="7"/>
  <c r="B9" i="8"/>
  <c r="B10" i="1"/>
  <c r="B11" i="1"/>
  <c r="B12" i="1"/>
  <c r="B13" i="1"/>
  <c r="B17" i="1"/>
  <c r="B14" i="1"/>
  <c r="B15" i="1"/>
  <c r="B16" i="1"/>
  <c r="B18" i="1"/>
  <c r="B19" i="1" l="1"/>
  <c r="B10" i="7"/>
  <c r="B20" i="1"/>
  <c r="B21" i="1"/>
  <c r="B22" i="1"/>
  <c r="B23" i="1"/>
  <c r="B24" i="1"/>
  <c r="B25" i="1"/>
  <c r="B26" i="1"/>
  <c r="B27" i="1"/>
  <c r="B28" i="1"/>
  <c r="B29" i="1"/>
  <c r="B30" i="1"/>
  <c r="B11" i="8"/>
  <c r="B10" i="8"/>
  <c r="B31" i="1"/>
  <c r="B32" i="1"/>
  <c r="B33" i="1"/>
</calcChain>
</file>

<file path=xl/sharedStrings.xml><?xml version="1.0" encoding="utf-8"?>
<sst xmlns="http://schemas.openxmlformats.org/spreadsheetml/2006/main" count="112" uniqueCount="57">
  <si>
    <t>Jour</t>
  </si>
  <si>
    <t>Semaine</t>
  </si>
  <si>
    <t>Temps [h]</t>
  </si>
  <si>
    <t>Type</t>
  </si>
  <si>
    <t>Description</t>
  </si>
  <si>
    <t>Remarques/problèmes</t>
  </si>
  <si>
    <t>Analyse</t>
  </si>
  <si>
    <t>Types de tâches</t>
  </si>
  <si>
    <t>Implémentation</t>
  </si>
  <si>
    <t>Tests</t>
  </si>
  <si>
    <t>Documentation</t>
  </si>
  <si>
    <t>Absence</t>
  </si>
  <si>
    <t>Meeting</t>
  </si>
  <si>
    <t>Journal de travail</t>
  </si>
  <si>
    <t xml:space="preserve">Projet </t>
  </si>
  <si>
    <t>Travail pratique individuel</t>
  </si>
  <si>
    <t xml:space="preserve">Candidat </t>
  </si>
  <si>
    <t>Juillet Mikael</t>
  </si>
  <si>
    <t xml:space="preserve">Chef de projet </t>
  </si>
  <si>
    <t>Benzonana Pascal</t>
  </si>
  <si>
    <t xml:space="preserve">Experts </t>
  </si>
  <si>
    <t>…</t>
  </si>
  <si>
    <t>Calculs des données</t>
  </si>
  <si>
    <t xml:space="preserve">Heures totales </t>
  </si>
  <si>
    <t xml:space="preserve">Heures attendues </t>
  </si>
  <si>
    <t xml:space="preserve">Pourcentage effectué </t>
  </si>
  <si>
    <t>Journal de board</t>
  </si>
  <si>
    <t>Récupération du cahier des charges, lecture et annotation de cette dernière.</t>
  </si>
  <si>
    <t>Rendez-vous avec Monsieur Montemayor Ernesto afin de discuter du cahier des charges et de certains points sur ce dernier. Nous avons notamment abordé les points relatifs aux rendus et de présentation. </t>
  </si>
  <si>
    <t>Création de la planification initiale, je suis allé dans les détails de la planification en expliquant le détails d'une semaine type en plus d'un diagrame de gantt et d'une liste des points.</t>
  </si>
  <si>
    <t xml:space="preserve">finalisation de laplanification initiale, création des email d'envoit sur la planification initiale et création d'un e-mail à Monsieur Benzonana questionant différents points du projet. </t>
  </si>
  <si>
    <t xml:space="preserve">Création du github et de l'icescrum et des dossiers. </t>
  </si>
  <si>
    <t xml:space="preserve">Cette tâche as été effectuée en dehors du temps de travail, sous nécésité d'un envoit de document important. </t>
  </si>
  <si>
    <t>Modification des erreurs de dates de la planification initiale, suite à l'e-mail de Monsieur Sahli.</t>
  </si>
  <si>
    <t xml:space="preserve">Emails sur la planification initiale ainsi que sur mon absence de 12 mai. </t>
  </si>
  <si>
    <t>Creation du sprint 1, ajout des stories, création des tâches et des tests.</t>
  </si>
  <si>
    <t xml:space="preserve">Création du diagramme de classe, ajout de la classe PlanetaryCelestialBody, planet, moon et asteroid. </t>
  </si>
  <si>
    <t xml:space="preserve">Création du diagrame de scéquence initiale. </t>
  </si>
  <si>
    <t xml:space="preserve">Ajout de vite et création des classes en suivant le diagramme de classe crée précedement. </t>
  </si>
  <si>
    <t xml:space="preserve">Création de la documentation, ajout de l'introduction. </t>
  </si>
  <si>
    <t xml:space="preserve">Review de Sprint avec Monsieur Benzonana, nous avons discuté du sprint actuel ainsi que du prochain et des difficultés de création du diagramme de classe. </t>
  </si>
  <si>
    <t>Quelques problèmes au niveau de la création des classes. J'ai quelques difficultés à savoir quels sont les éléments nécessaires et comment les implémenter avec les flèches. Le site suivant m'a aidé : https://developer.ibm.com/articles/the-class-diagram/</t>
  </si>
  <si>
    <t xml:space="preserve">Modification des Classes ajout des calculs de positions et de rotations. </t>
  </si>
  <si>
    <t>Création des sprints et des tests dans icescrum, la description de chaque partie et la réalisation de tests sont détaillés.</t>
  </si>
  <si>
    <t xml:space="preserve">Modification de la documentation, ajout des l'analyse et des tests. </t>
  </si>
  <si>
    <t xml:space="preserve">Mise à jour de la documentation, ajout des requêtes api. </t>
  </si>
  <si>
    <t>J'ai ajouté la requête api pour récupérer toutes les données de la Nasa sur chaque planète, hors j'ai eu une erreur cors policy que j'ai corrigée, cependant ma requête n'a rien retourné. C’est-à-dire que je ne peux pas récupérer les données. J'ai demandé de l'aide à Monsieur Benzonana, qui m'a conseillé d'exporter les données en attendant d'avoir l'avis du support informatique de la Nasa. </t>
  </si>
  <si>
    <t>Je suis très frustré d'avoir perdu du temps et j'espère trouver la solution rapidement. </t>
  </si>
  <si>
    <t xml:space="preserve">J'ai ajouté la requête pour la récupération des objets proches. </t>
  </si>
  <si>
    <t xml:space="preserve">Ajout de sources dans la documentation et écriture de mail pour la Nasa et pour les experts afin de rendre mon travail. </t>
  </si>
  <si>
    <t xml:space="preserve">Documentation du code, plus particulièrement du problème avec l'api et de la filtration des requêtes. </t>
  </si>
  <si>
    <t>J'ai revu mon code et j'ai commencé à ajouter le code de filtrage des données avec les expressions régulières. Je me suis aidé du site suivant : https://developer.mozilla.org/en-US/docs/Web/JavaScript/Guide/Regular_expressions</t>
  </si>
  <si>
    <t xml:space="preserve">J'ai récupéré toutes les données des planètes et lunes que j'ai mises dans un fichier afin de contourner le problème de l'API horizon pour l'instant. </t>
  </si>
  <si>
    <t xml:space="preserve">J'ai regardé avec Monsieur Benzonana, le problème de requête API avec Horizon, nous avons essayé de débloquer la situation, finalement nous avons convenu d'écrire un e-mail à la Nasa puis d'exporter toutes les données afin de ne pas perdre du temps sur le projet. </t>
  </si>
  <si>
    <t>Sahli Bertrand</t>
  </si>
  <si>
    <t>Montemayor Ernesto</t>
  </si>
  <si>
    <t>Continuation de la création des regex.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</si>
</sst>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
      <sz val="24"/>
      <color theme="1"/>
      <name val="Calibri"/>
      <family val="2"/>
      <scheme val="minor"/>
    </font>
    <font>
      <sz val="12"/>
      <color theme="1"/>
      <name val="Calibri"/>
      <family val="2"/>
      <scheme val="minor"/>
    </font>
    <font>
      <b/>
      <sz val="36"/>
      <color theme="1"/>
      <name val="Calibri"/>
      <family val="2"/>
      <scheme val="minor"/>
    </font>
    <font>
      <b/>
      <sz val="11"/>
      <color theme="1"/>
      <name val="Arial"/>
      <family val="2"/>
    </font>
  </fonts>
  <fills count="5">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2" tint="-9.9978637043366805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1" fillId="3" borderId="0" xfId="0" applyFont="1" applyFill="1" applyAlignment="1">
      <alignment horizontal="left" vertic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1" fillId="3" borderId="0" xfId="0" applyFont="1" applyFill="1"/>
    <xf numFmtId="0" fontId="0" fillId="3" borderId="0" xfId="0" applyFill="1"/>
    <xf numFmtId="0" fontId="6" fillId="3" borderId="0" xfId="0" applyFont="1" applyFill="1"/>
    <xf numFmtId="16" fontId="0" fillId="0" borderId="0" xfId="0" applyNumberFormat="1" applyAlignment="1" applyProtection="1">
      <alignment horizontal="center" vertical="center"/>
      <protection locked="0"/>
    </xf>
    <xf numFmtId="0" fontId="1" fillId="4" borderId="0" xfId="0" applyFont="1" applyFill="1"/>
    <xf numFmtId="0" fontId="4" fillId="4" borderId="0" xfId="0" applyFont="1" applyFill="1"/>
    <xf numFmtId="0" fontId="8" fillId="4" borderId="0" xfId="0" applyFont="1" applyFill="1"/>
    <xf numFmtId="2" fontId="1" fillId="4" borderId="0" xfId="0" applyNumberFormat="1" applyFont="1" applyFill="1"/>
    <xf numFmtId="0" fontId="0" fillId="0" borderId="1" xfId="0" applyBorder="1" applyAlignment="1" applyProtection="1">
      <alignment horizontal="left" vertical="center"/>
      <protection locked="0"/>
    </xf>
    <xf numFmtId="0" fontId="7" fillId="3" borderId="0" xfId="0" applyFont="1" applyFill="1" applyAlignment="1">
      <alignment horizontal="left" vertical="center"/>
    </xf>
    <xf numFmtId="0" fontId="6" fillId="3" borderId="0" xfId="0" applyFont="1" applyFill="1" applyAlignment="1">
      <alignment horizontal="left"/>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3590925</xdr:colOff>
      <xdr:row>0</xdr:row>
      <xdr:rowOff>180976</xdr:rowOff>
    </xdr:from>
    <xdr:to>
      <xdr:col>5</xdr:col>
      <xdr:colOff>4866410</xdr:colOff>
      <xdr:row>2</xdr:row>
      <xdr:rowOff>209551</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54125" y="180976"/>
          <a:ext cx="1275485" cy="590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2305050</xdr:colOff>
      <xdr:row>0</xdr:row>
      <xdr:rowOff>156731</xdr:rowOff>
    </xdr:from>
    <xdr:to>
      <xdr:col>5</xdr:col>
      <xdr:colOff>3580535</xdr:colOff>
      <xdr:row>2</xdr:row>
      <xdr:rowOff>209550</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11075" y="156731"/>
          <a:ext cx="1275485" cy="614794"/>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2238376</xdr:colOff>
      <xdr:row>0</xdr:row>
      <xdr:rowOff>166256</xdr:rowOff>
    </xdr:from>
    <xdr:to>
      <xdr:col>5</xdr:col>
      <xdr:colOff>3324225</xdr:colOff>
      <xdr:row>3</xdr:row>
      <xdr:rowOff>119433</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48376" y="166256"/>
          <a:ext cx="1085849" cy="5913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47"/>
  <sheetViews>
    <sheetView tabSelected="1" zoomScaleNormal="100" workbookViewId="0">
      <selection activeCell="C12" sqref="C12"/>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7" style="5"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30" t="s">
        <v>13</v>
      </c>
      <c r="B1" s="30"/>
      <c r="C1" s="30"/>
      <c r="D1" s="30"/>
      <c r="E1" s="30"/>
      <c r="F1" s="30"/>
    </row>
    <row r="2" spans="1:9" ht="20.25" customHeight="1" x14ac:dyDescent="0.25">
      <c r="A2" s="30"/>
      <c r="B2" s="30"/>
      <c r="C2" s="30"/>
      <c r="D2" s="30"/>
      <c r="E2" s="30"/>
      <c r="F2" s="30"/>
      <c r="I2" s="12"/>
    </row>
    <row r="3" spans="1:9" ht="17.25" customHeight="1" x14ac:dyDescent="0.25">
      <c r="A3" s="18" t="s">
        <v>14</v>
      </c>
      <c r="B3" s="19" t="s">
        <v>15</v>
      </c>
      <c r="C3" s="20"/>
      <c r="D3" s="20"/>
      <c r="E3" s="20"/>
      <c r="F3" s="20"/>
      <c r="I3" s="12"/>
    </row>
    <row r="4" spans="1:9" ht="15.75" x14ac:dyDescent="0.25">
      <c r="A4" s="21" t="s">
        <v>16</v>
      </c>
      <c r="B4" s="31" t="s">
        <v>17</v>
      </c>
      <c r="C4" s="31"/>
      <c r="D4" s="22"/>
      <c r="E4" s="22"/>
      <c r="F4" s="22"/>
      <c r="I4" s="12"/>
    </row>
    <row r="5" spans="1:9" ht="15.75" x14ac:dyDescent="0.25">
      <c r="A5" s="21" t="s">
        <v>18</v>
      </c>
      <c r="B5" s="31" t="s">
        <v>19</v>
      </c>
      <c r="C5" s="31"/>
      <c r="D5" s="22"/>
      <c r="E5" s="22"/>
      <c r="F5" s="22"/>
      <c r="I5" s="12"/>
    </row>
    <row r="6" spans="1:9" ht="15.75" x14ac:dyDescent="0.25">
      <c r="A6" s="21" t="s">
        <v>20</v>
      </c>
      <c r="B6" s="31" t="s">
        <v>54</v>
      </c>
      <c r="C6" s="31"/>
      <c r="D6" s="22"/>
      <c r="E6" s="22"/>
      <c r="F6" s="22"/>
      <c r="I6" s="12"/>
    </row>
    <row r="7" spans="1:9" ht="15.75" x14ac:dyDescent="0.25">
      <c r="A7" s="23"/>
      <c r="B7" s="31" t="s">
        <v>55</v>
      </c>
      <c r="C7" s="31"/>
      <c r="D7" s="22"/>
      <c r="E7" s="22"/>
      <c r="F7" s="22"/>
      <c r="I7" s="12"/>
    </row>
    <row r="8" spans="1:9" ht="15.75" x14ac:dyDescent="0.25">
      <c r="A8" s="3" t="s">
        <v>0</v>
      </c>
      <c r="B8" s="15" t="s">
        <v>1</v>
      </c>
      <c r="C8" s="6" t="s">
        <v>2</v>
      </c>
      <c r="D8" s="3" t="s">
        <v>3</v>
      </c>
      <c r="E8" s="7" t="s">
        <v>4</v>
      </c>
      <c r="F8" s="7" t="s">
        <v>5</v>
      </c>
      <c r="I8" s="12"/>
    </row>
    <row r="9" spans="1:9" x14ac:dyDescent="0.25">
      <c r="A9" s="4">
        <v>45055</v>
      </c>
      <c r="B9" s="16">
        <f t="shared" ref="B9" si="0">WEEKNUM(A9)</f>
        <v>19</v>
      </c>
      <c r="C9" s="9">
        <v>0</v>
      </c>
      <c r="D9" s="29" t="s">
        <v>6</v>
      </c>
      <c r="E9" s="11"/>
      <c r="F9" s="11"/>
      <c r="I9" s="12"/>
    </row>
    <row r="10" spans="1:9" x14ac:dyDescent="0.25">
      <c r="A10" s="4">
        <v>45055</v>
      </c>
      <c r="B10" s="16">
        <f t="shared" ref="B10" si="1">WEEKNUM(A10)</f>
        <v>19</v>
      </c>
      <c r="C10" s="9">
        <v>0.75</v>
      </c>
      <c r="D10" s="29" t="s">
        <v>8</v>
      </c>
      <c r="E10" s="11" t="s">
        <v>56</v>
      </c>
      <c r="F10" s="11"/>
      <c r="I10" s="12"/>
    </row>
    <row r="11" spans="1:9" ht="30" x14ac:dyDescent="0.25">
      <c r="A11" s="4">
        <v>45055</v>
      </c>
      <c r="B11" s="16">
        <f t="shared" ref="B11" si="2">WEEKNUM(A11)</f>
        <v>19</v>
      </c>
      <c r="C11" s="9">
        <v>1</v>
      </c>
      <c r="D11" s="29" t="s">
        <v>6</v>
      </c>
      <c r="E11" s="11" t="s">
        <v>49</v>
      </c>
      <c r="F11" s="11"/>
      <c r="I11" s="12"/>
    </row>
    <row r="12" spans="1:9" ht="30" x14ac:dyDescent="0.25">
      <c r="A12" s="4">
        <v>45055</v>
      </c>
      <c r="B12" s="16">
        <f t="shared" ref="B12" si="3">WEEKNUM(A12)</f>
        <v>19</v>
      </c>
      <c r="C12" s="9">
        <v>0.75</v>
      </c>
      <c r="D12" s="29" t="s">
        <v>10</v>
      </c>
      <c r="E12" s="11" t="s">
        <v>50</v>
      </c>
      <c r="F12" s="11"/>
      <c r="I12" s="12"/>
    </row>
    <row r="13" spans="1:9" ht="45" x14ac:dyDescent="0.25">
      <c r="A13" s="4">
        <v>45055</v>
      </c>
      <c r="B13" s="16">
        <f t="shared" ref="B13" si="4">WEEKNUM(A13)</f>
        <v>19</v>
      </c>
      <c r="C13" s="9">
        <v>1.5</v>
      </c>
      <c r="D13" s="29" t="s">
        <v>8</v>
      </c>
      <c r="E13" s="11" t="s">
        <v>51</v>
      </c>
      <c r="F13" s="11"/>
      <c r="I13" s="12"/>
    </row>
    <row r="14" spans="1:9" ht="30" x14ac:dyDescent="0.25">
      <c r="A14" s="4">
        <v>45055</v>
      </c>
      <c r="B14" s="16">
        <f t="shared" ref="B14" si="5">WEEKNUM(A14)</f>
        <v>19</v>
      </c>
      <c r="C14" s="9">
        <v>0.75</v>
      </c>
      <c r="D14" s="29" t="s">
        <v>8</v>
      </c>
      <c r="E14" s="11" t="s">
        <v>52</v>
      </c>
      <c r="F14" s="11"/>
      <c r="I14" s="12"/>
    </row>
    <row r="15" spans="1:9" x14ac:dyDescent="0.25">
      <c r="A15" s="4">
        <v>45054</v>
      </c>
      <c r="B15" s="16">
        <f t="shared" ref="B15" si="6">WEEKNUM(A15)</f>
        <v>19</v>
      </c>
      <c r="C15" s="9">
        <v>1.3</v>
      </c>
      <c r="D15" s="29" t="s">
        <v>6</v>
      </c>
      <c r="E15" s="11" t="s">
        <v>48</v>
      </c>
      <c r="F15" s="11"/>
      <c r="I15" s="12"/>
    </row>
    <row r="16" spans="1:9" ht="75" x14ac:dyDescent="0.25">
      <c r="A16" s="4">
        <v>45054</v>
      </c>
      <c r="B16" s="16">
        <f t="shared" ref="B16" si="7">WEEKNUM(A16)</f>
        <v>19</v>
      </c>
      <c r="C16" s="9">
        <v>4.5</v>
      </c>
      <c r="D16" s="29" t="s">
        <v>6</v>
      </c>
      <c r="E16" s="11" t="s">
        <v>46</v>
      </c>
      <c r="F16" s="11" t="s">
        <v>47</v>
      </c>
      <c r="I16" s="12"/>
    </row>
    <row r="17" spans="1:9" x14ac:dyDescent="0.25">
      <c r="A17" s="4">
        <v>45054</v>
      </c>
      <c r="B17" s="16">
        <f>WEEKNUM(A17)</f>
        <v>19</v>
      </c>
      <c r="C17" s="9">
        <v>0.45</v>
      </c>
      <c r="D17" s="29" t="s">
        <v>6</v>
      </c>
      <c r="E17" s="11" t="s">
        <v>45</v>
      </c>
      <c r="F17" s="11"/>
      <c r="I17" s="12"/>
    </row>
    <row r="18" spans="1:9" x14ac:dyDescent="0.25">
      <c r="A18" s="4">
        <v>45051</v>
      </c>
      <c r="B18" s="16">
        <f t="shared" ref="B18" si="8">WEEKNUM(A18)</f>
        <v>18</v>
      </c>
      <c r="C18" s="9">
        <v>1.25</v>
      </c>
      <c r="D18" s="29" t="s">
        <v>10</v>
      </c>
      <c r="E18" s="11" t="s">
        <v>44</v>
      </c>
      <c r="F18" s="11"/>
      <c r="I18" s="12"/>
    </row>
    <row r="19" spans="1:9" ht="30" x14ac:dyDescent="0.25">
      <c r="A19" s="4">
        <v>45051</v>
      </c>
      <c r="B19" s="16">
        <f t="shared" ref="B19" si="9">WEEKNUM(A19)</f>
        <v>18</v>
      </c>
      <c r="C19" s="9">
        <v>1.75</v>
      </c>
      <c r="D19" s="29" t="s">
        <v>6</v>
      </c>
      <c r="E19" s="11" t="s">
        <v>43</v>
      </c>
      <c r="F19" s="11"/>
      <c r="I19" s="12"/>
    </row>
    <row r="20" spans="1:9" ht="30" x14ac:dyDescent="0.25">
      <c r="A20" s="4">
        <v>45051</v>
      </c>
      <c r="B20" s="16">
        <f t="shared" ref="B20" si="10">WEEKNUM(A20)</f>
        <v>18</v>
      </c>
      <c r="C20" s="9">
        <v>0.75</v>
      </c>
      <c r="D20" s="29" t="s">
        <v>12</v>
      </c>
      <c r="E20" s="11" t="s">
        <v>40</v>
      </c>
      <c r="F20" s="11"/>
      <c r="I20" s="12"/>
    </row>
    <row r="21" spans="1:9" ht="60" x14ac:dyDescent="0.25">
      <c r="A21" s="4">
        <v>45051</v>
      </c>
      <c r="B21" s="16">
        <f t="shared" ref="B21" si="11">WEEKNUM(A21)</f>
        <v>18</v>
      </c>
      <c r="C21" s="9">
        <v>1.5</v>
      </c>
      <c r="D21" s="29" t="s">
        <v>8</v>
      </c>
      <c r="E21" s="11" t="s">
        <v>42</v>
      </c>
      <c r="F21" s="11" t="s">
        <v>41</v>
      </c>
      <c r="I21" s="12"/>
    </row>
    <row r="22" spans="1:9" x14ac:dyDescent="0.25">
      <c r="A22" s="4">
        <v>45050</v>
      </c>
      <c r="B22" s="16">
        <f t="shared" ref="B22" si="12">WEEKNUM(A22)</f>
        <v>18</v>
      </c>
      <c r="C22" s="9">
        <v>0.75</v>
      </c>
      <c r="D22" s="29" t="s">
        <v>6</v>
      </c>
      <c r="E22" s="11" t="s">
        <v>39</v>
      </c>
      <c r="F22" s="11"/>
      <c r="I22" s="12"/>
    </row>
    <row r="23" spans="1:9" x14ac:dyDescent="0.25">
      <c r="A23" s="4">
        <v>45050</v>
      </c>
      <c r="B23" s="16">
        <f t="shared" ref="B23" si="13">WEEKNUM(A23)</f>
        <v>18</v>
      </c>
      <c r="C23" s="9">
        <v>1.31</v>
      </c>
      <c r="D23" s="29" t="s">
        <v>8</v>
      </c>
      <c r="E23" s="11" t="s">
        <v>38</v>
      </c>
      <c r="F23" s="11"/>
      <c r="I23" s="12"/>
    </row>
    <row r="24" spans="1:9" x14ac:dyDescent="0.25">
      <c r="A24" s="4">
        <v>45050</v>
      </c>
      <c r="B24" s="16">
        <f t="shared" ref="B24" si="14">WEEKNUM(A24)</f>
        <v>18</v>
      </c>
      <c r="C24" s="9">
        <v>0.5</v>
      </c>
      <c r="D24" s="29" t="s">
        <v>10</v>
      </c>
      <c r="E24" s="11" t="s">
        <v>37</v>
      </c>
      <c r="F24" s="11"/>
      <c r="I24" s="12"/>
    </row>
    <row r="25" spans="1:9" ht="30" x14ac:dyDescent="0.25">
      <c r="A25" s="4">
        <v>45050</v>
      </c>
      <c r="B25" s="16">
        <f t="shared" ref="B25" si="15">WEEKNUM(A25)</f>
        <v>18</v>
      </c>
      <c r="C25" s="9">
        <v>1.5</v>
      </c>
      <c r="D25" s="29" t="s">
        <v>10</v>
      </c>
      <c r="E25" s="11" t="s">
        <v>36</v>
      </c>
      <c r="F25" s="11"/>
      <c r="I25" s="12"/>
    </row>
    <row r="26" spans="1:9" x14ac:dyDescent="0.25">
      <c r="A26" s="4">
        <v>45050</v>
      </c>
      <c r="B26" s="16">
        <f t="shared" ref="B26" si="16">WEEKNUM(A26)</f>
        <v>18</v>
      </c>
      <c r="C26" s="9">
        <v>0.5</v>
      </c>
      <c r="D26" s="29" t="s">
        <v>6</v>
      </c>
      <c r="E26" s="11" t="s">
        <v>35</v>
      </c>
      <c r="F26" s="11"/>
      <c r="I26" s="12"/>
    </row>
    <row r="27" spans="1:9" x14ac:dyDescent="0.25">
      <c r="A27" s="4">
        <v>45050</v>
      </c>
      <c r="B27" s="16">
        <f t="shared" ref="B27:B33" si="17">WEEKNUM(A27)</f>
        <v>18</v>
      </c>
      <c r="C27" s="9">
        <v>0.4</v>
      </c>
      <c r="D27" s="29" t="s">
        <v>6</v>
      </c>
      <c r="E27" s="11" t="s">
        <v>34</v>
      </c>
      <c r="F27" s="11"/>
      <c r="I27" s="12"/>
    </row>
    <row r="28" spans="1:9" ht="30" x14ac:dyDescent="0.25">
      <c r="A28" s="4">
        <v>45050</v>
      </c>
      <c r="B28" s="16">
        <f t="shared" si="17"/>
        <v>18</v>
      </c>
      <c r="C28" s="9">
        <v>0.25</v>
      </c>
      <c r="D28" s="29" t="s">
        <v>6</v>
      </c>
      <c r="E28" s="11" t="s">
        <v>33</v>
      </c>
      <c r="F28" s="11" t="s">
        <v>32</v>
      </c>
      <c r="I28" s="12"/>
    </row>
    <row r="29" spans="1:9" x14ac:dyDescent="0.25">
      <c r="A29" s="4">
        <v>45050</v>
      </c>
      <c r="B29" s="16">
        <f t="shared" si="17"/>
        <v>18</v>
      </c>
      <c r="C29" s="9">
        <v>0.5</v>
      </c>
      <c r="D29" s="29" t="s">
        <v>6</v>
      </c>
      <c r="E29" s="11" t="s">
        <v>31</v>
      </c>
      <c r="F29" s="11"/>
      <c r="I29" s="12"/>
    </row>
    <row r="30" spans="1:9" ht="30" x14ac:dyDescent="0.25">
      <c r="A30" s="4">
        <v>45050</v>
      </c>
      <c r="B30" s="16">
        <f t="shared" si="17"/>
        <v>18</v>
      </c>
      <c r="C30" s="9">
        <v>1.5</v>
      </c>
      <c r="D30" s="29" t="s">
        <v>6</v>
      </c>
      <c r="E30" s="11" t="s">
        <v>30</v>
      </c>
      <c r="F30" s="11"/>
      <c r="I30" s="12"/>
    </row>
    <row r="31" spans="1:9" ht="45" x14ac:dyDescent="0.25">
      <c r="A31" s="4">
        <v>45048</v>
      </c>
      <c r="B31" s="16">
        <f t="shared" si="17"/>
        <v>18</v>
      </c>
      <c r="C31" s="9">
        <v>2.25</v>
      </c>
      <c r="D31" s="29" t="s">
        <v>6</v>
      </c>
      <c r="E31" s="11" t="s">
        <v>29</v>
      </c>
      <c r="F31" s="11"/>
      <c r="I31" s="12"/>
    </row>
    <row r="32" spans="1:9" ht="45" x14ac:dyDescent="0.25">
      <c r="A32" s="4">
        <v>45048</v>
      </c>
      <c r="B32" s="16">
        <f t="shared" si="17"/>
        <v>18</v>
      </c>
      <c r="C32" s="9">
        <v>0.5</v>
      </c>
      <c r="D32" s="29" t="s">
        <v>12</v>
      </c>
      <c r="E32" s="11" t="s">
        <v>28</v>
      </c>
      <c r="F32" s="11"/>
      <c r="I32" s="12"/>
    </row>
    <row r="33" spans="1:9" x14ac:dyDescent="0.25">
      <c r="A33" s="4">
        <v>45048</v>
      </c>
      <c r="B33" s="16">
        <f t="shared" si="17"/>
        <v>18</v>
      </c>
      <c r="C33" s="9">
        <v>0.33333299999999999</v>
      </c>
      <c r="D33" s="29" t="s">
        <v>6</v>
      </c>
      <c r="E33" s="11" t="s">
        <v>27</v>
      </c>
      <c r="F33" s="11"/>
      <c r="I33" s="12"/>
    </row>
    <row r="34" spans="1:9" x14ac:dyDescent="0.25">
      <c r="A34" s="24"/>
      <c r="I34" s="12"/>
    </row>
    <row r="35" spans="1:9" x14ac:dyDescent="0.25">
      <c r="A35" s="24"/>
      <c r="I35" s="12"/>
    </row>
    <row r="36" spans="1:9" x14ac:dyDescent="0.25">
      <c r="A36" s="24"/>
      <c r="I36" s="12"/>
    </row>
    <row r="37" spans="1:9" x14ac:dyDescent="0.25">
      <c r="A37" s="24"/>
      <c r="I37" s="12"/>
    </row>
    <row r="38" spans="1:9" x14ac:dyDescent="0.25">
      <c r="A38" s="24"/>
      <c r="I38" s="12"/>
    </row>
    <row r="39" spans="1:9" x14ac:dyDescent="0.25">
      <c r="A39" s="24"/>
      <c r="I39" s="12"/>
    </row>
    <row r="40" spans="1:9" x14ac:dyDescent="0.25">
      <c r="A40" s="24"/>
      <c r="I40" s="12"/>
    </row>
    <row r="41" spans="1:9" x14ac:dyDescent="0.25">
      <c r="A41" s="24"/>
    </row>
    <row r="42" spans="1:9" x14ac:dyDescent="0.25">
      <c r="A42" s="24"/>
    </row>
    <row r="43" spans="1:9" x14ac:dyDescent="0.25">
      <c r="A43" s="24"/>
    </row>
    <row r="44" spans="1:9" x14ac:dyDescent="0.25">
      <c r="A44" s="24"/>
    </row>
    <row r="45" spans="1:9" x14ac:dyDescent="0.25">
      <c r="A45" s="24"/>
    </row>
    <row r="46" spans="1:9" x14ac:dyDescent="0.25">
      <c r="A46" s="24"/>
    </row>
    <row r="47" spans="1:9" x14ac:dyDescent="0.25">
      <c r="A47" s="24"/>
    </row>
  </sheetData>
  <sheetProtection selectLockedCells="1"/>
  <mergeCells count="5">
    <mergeCell ref="A1:F2"/>
    <mergeCell ref="B4:C4"/>
    <mergeCell ref="B5:C5"/>
    <mergeCell ref="B6:C6"/>
    <mergeCell ref="B7:C7"/>
  </mergeCells>
  <pageMargins left="0.25" right="0.25" top="0.75" bottom="0.75" header="0.3" footer="0.3"/>
  <pageSetup paperSize="152" scale="6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Paramètres!$A$2:$A$38</xm:f>
          </x14:formula1>
          <xm:sqref>D9:D47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B7E-D021-456E-A77A-9AF1DE339BC1}">
  <sheetPr>
    <pageSetUpPr fitToPage="1"/>
  </sheetPr>
  <dimension ref="A1:I25"/>
  <sheetViews>
    <sheetView workbookViewId="0">
      <selection activeCell="B6" sqref="B6:C7"/>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55.5703125" style="14" customWidth="1"/>
    <col min="7" max="7" width="9.140625" style="8"/>
    <col min="8" max="8" width="14.7109375" style="8" customWidth="1"/>
    <col min="9" max="16384" width="9.140625" style="8"/>
  </cols>
  <sheetData>
    <row r="1" spans="1:9" ht="24" customHeight="1" x14ac:dyDescent="0.25">
      <c r="A1" s="30" t="s">
        <v>26</v>
      </c>
      <c r="B1" s="30"/>
      <c r="C1" s="30"/>
      <c r="D1" s="30"/>
      <c r="E1" s="30"/>
      <c r="F1" s="30"/>
    </row>
    <row r="2" spans="1:9" ht="20.25" customHeight="1" x14ac:dyDescent="0.25">
      <c r="A2" s="30"/>
      <c r="B2" s="30"/>
      <c r="C2" s="30"/>
      <c r="D2" s="30"/>
      <c r="E2" s="30"/>
      <c r="F2" s="30"/>
      <c r="I2" s="12"/>
    </row>
    <row r="3" spans="1:9" ht="17.25" customHeight="1" x14ac:dyDescent="0.25">
      <c r="A3" s="18" t="s">
        <v>14</v>
      </c>
      <c r="B3" s="19" t="s">
        <v>15</v>
      </c>
      <c r="C3" s="20"/>
      <c r="D3" s="20"/>
      <c r="E3" s="20"/>
      <c r="F3" s="20"/>
      <c r="I3" s="12"/>
    </row>
    <row r="4" spans="1:9" ht="15.75" x14ac:dyDescent="0.25">
      <c r="A4" s="21" t="s">
        <v>16</v>
      </c>
      <c r="B4" s="31" t="s">
        <v>17</v>
      </c>
      <c r="C4" s="31"/>
      <c r="D4" s="22"/>
      <c r="E4" s="22"/>
      <c r="F4" s="22"/>
      <c r="I4" s="12"/>
    </row>
    <row r="5" spans="1:9" ht="15.75" x14ac:dyDescent="0.25">
      <c r="A5" s="21" t="s">
        <v>18</v>
      </c>
      <c r="B5" s="31" t="s">
        <v>19</v>
      </c>
      <c r="C5" s="31"/>
      <c r="D5" s="22"/>
      <c r="E5" s="22"/>
      <c r="F5" s="22"/>
      <c r="I5" s="12"/>
    </row>
    <row r="6" spans="1:9" ht="15.75" x14ac:dyDescent="0.25">
      <c r="A6" s="21" t="s">
        <v>20</v>
      </c>
      <c r="B6" s="31" t="s">
        <v>54</v>
      </c>
      <c r="C6" s="31"/>
      <c r="D6" s="22"/>
      <c r="E6" s="22"/>
      <c r="F6" s="22"/>
      <c r="I6" s="12"/>
    </row>
    <row r="7" spans="1:9" ht="15.75" x14ac:dyDescent="0.25">
      <c r="A7" s="23"/>
      <c r="B7" s="31" t="s">
        <v>55</v>
      </c>
      <c r="C7" s="31"/>
      <c r="D7" s="22"/>
      <c r="E7" s="22"/>
      <c r="F7" s="22"/>
      <c r="I7" s="12"/>
    </row>
    <row r="8" spans="1:9" ht="15.75" x14ac:dyDescent="0.25">
      <c r="A8" s="3" t="s">
        <v>0</v>
      </c>
      <c r="B8" s="15" t="s">
        <v>1</v>
      </c>
      <c r="C8" s="6" t="s">
        <v>2</v>
      </c>
      <c r="D8" s="3" t="s">
        <v>3</v>
      </c>
      <c r="E8" s="7" t="s">
        <v>4</v>
      </c>
      <c r="F8" s="7" t="s">
        <v>5</v>
      </c>
      <c r="I8" s="12"/>
    </row>
    <row r="9" spans="1:9" x14ac:dyDescent="0.25">
      <c r="A9" s="4">
        <v>45048</v>
      </c>
      <c r="B9" s="16">
        <f>WEEKNUM(A9)</f>
        <v>18</v>
      </c>
      <c r="C9" s="9">
        <v>0</v>
      </c>
      <c r="D9" s="10" t="s">
        <v>6</v>
      </c>
      <c r="E9" s="11" t="s">
        <v>21</v>
      </c>
      <c r="F9" s="11" t="s">
        <v>21</v>
      </c>
      <c r="I9" s="12"/>
    </row>
    <row r="10" spans="1:9" ht="45" x14ac:dyDescent="0.25">
      <c r="A10" s="4">
        <v>45054</v>
      </c>
      <c r="B10" s="16">
        <f>WEEKNUM(A10)</f>
        <v>19</v>
      </c>
      <c r="C10" s="9">
        <v>0.5</v>
      </c>
      <c r="D10" s="10" t="s">
        <v>6</v>
      </c>
      <c r="E10" s="11" t="s">
        <v>53</v>
      </c>
      <c r="F10" s="11" t="s">
        <v>21</v>
      </c>
      <c r="I10" s="12"/>
    </row>
    <row r="11" spans="1:9" ht="45" x14ac:dyDescent="0.25">
      <c r="A11" s="4">
        <v>45048</v>
      </c>
      <c r="B11" s="16">
        <f>WEEKNUM(A11)</f>
        <v>18</v>
      </c>
      <c r="C11" s="9">
        <v>0.5</v>
      </c>
      <c r="D11" s="10" t="s">
        <v>12</v>
      </c>
      <c r="E11" s="11" t="s">
        <v>28</v>
      </c>
      <c r="F11" s="11"/>
      <c r="I11" s="12"/>
    </row>
    <row r="12" spans="1:9" x14ac:dyDescent="0.25">
      <c r="A12" s="24"/>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c r="I18" s="12"/>
    </row>
    <row r="19" spans="1:9" x14ac:dyDescent="0.25">
      <c r="A19" s="24"/>
    </row>
    <row r="20" spans="1:9" x14ac:dyDescent="0.25">
      <c r="A20" s="24"/>
    </row>
    <row r="21" spans="1:9" x14ac:dyDescent="0.25">
      <c r="A21" s="24"/>
    </row>
    <row r="22" spans="1:9" x14ac:dyDescent="0.25">
      <c r="A22" s="24"/>
    </row>
    <row r="23" spans="1:9" x14ac:dyDescent="0.25">
      <c r="A23" s="24"/>
    </row>
    <row r="24" spans="1:9" x14ac:dyDescent="0.25">
      <c r="A24" s="24"/>
    </row>
    <row r="25" spans="1:9" x14ac:dyDescent="0.25">
      <c r="A25" s="24"/>
    </row>
  </sheetData>
  <mergeCells count="5">
    <mergeCell ref="A1:F2"/>
    <mergeCell ref="B4:C4"/>
    <mergeCell ref="B5:C5"/>
    <mergeCell ref="B6:C6"/>
    <mergeCell ref="B7:C7"/>
  </mergeCells>
  <pageMargins left="0.25" right="0.25" top="0.75" bottom="0.75" header="0.3" footer="0.3"/>
  <pageSetup paperSize="9" scale="6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mc:AlternateContent xmlns:mc="http://schemas.openxmlformats.org/markup-compatibility/2006">
          <mc:Choice Requires="x14">
            <control shapeId="3074" r:id="rId5"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C452721-AB8C-4C48-89F9-7C8495DD45ED}">
          <x14:formula1>
            <xm:f>Paramètres!$A$2:$A$38</xm:f>
          </x14:formula1>
          <xm:sqref>D9:D25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3D25-10CE-44AA-8B60-763DB045FBF2}">
  <sheetPr codeName="Feuil3"/>
  <dimension ref="A1:F10"/>
  <sheetViews>
    <sheetView workbookViewId="0">
      <selection activeCell="B6" sqref="B6:C7"/>
    </sheetView>
  </sheetViews>
  <sheetFormatPr baseColWidth="10" defaultRowHeight="15" x14ac:dyDescent="0.25"/>
  <cols>
    <col min="1" max="1" width="26.7109375" customWidth="1"/>
    <col min="6" max="6" width="51.85546875" customWidth="1"/>
  </cols>
  <sheetData>
    <row r="1" spans="1:6" x14ac:dyDescent="0.25">
      <c r="A1" s="30" t="s">
        <v>22</v>
      </c>
      <c r="B1" s="30"/>
      <c r="C1" s="30"/>
      <c r="D1" s="30"/>
      <c r="E1" s="30"/>
      <c r="F1" s="30"/>
    </row>
    <row r="2" spans="1:6" x14ac:dyDescent="0.25">
      <c r="A2" s="30"/>
      <c r="B2" s="30"/>
      <c r="C2" s="30"/>
      <c r="D2" s="30"/>
      <c r="E2" s="30"/>
      <c r="F2" s="30"/>
    </row>
    <row r="3" spans="1:6" ht="20.25" customHeight="1" x14ac:dyDescent="0.25">
      <c r="A3" s="18" t="s">
        <v>14</v>
      </c>
      <c r="B3" s="19" t="s">
        <v>15</v>
      </c>
      <c r="C3" s="20"/>
      <c r="D3" s="20"/>
      <c r="E3" s="20"/>
      <c r="F3" s="20"/>
    </row>
    <row r="4" spans="1:6" ht="15.75" x14ac:dyDescent="0.25">
      <c r="A4" s="21" t="s">
        <v>16</v>
      </c>
      <c r="B4" s="31" t="s">
        <v>17</v>
      </c>
      <c r="C4" s="31"/>
      <c r="D4" s="22"/>
      <c r="E4" s="32"/>
      <c r="F4" s="32"/>
    </row>
    <row r="5" spans="1:6" ht="15.75" x14ac:dyDescent="0.25">
      <c r="A5" s="21" t="s">
        <v>18</v>
      </c>
      <c r="B5" s="31" t="s">
        <v>19</v>
      </c>
      <c r="C5" s="31"/>
      <c r="D5" s="22"/>
      <c r="E5" s="32"/>
      <c r="F5" s="32"/>
    </row>
    <row r="6" spans="1:6" ht="15.75" x14ac:dyDescent="0.25">
      <c r="A6" s="21" t="s">
        <v>20</v>
      </c>
      <c r="B6" s="31" t="s">
        <v>54</v>
      </c>
      <c r="C6" s="31"/>
      <c r="D6" s="22"/>
      <c r="E6" s="32"/>
      <c r="F6" s="32"/>
    </row>
    <row r="7" spans="1:6" ht="15.75" x14ac:dyDescent="0.25">
      <c r="A7" s="23"/>
      <c r="B7" s="31" t="s">
        <v>55</v>
      </c>
      <c r="C7" s="31"/>
      <c r="D7" s="22"/>
      <c r="E7" s="32"/>
      <c r="F7" s="32"/>
    </row>
    <row r="8" spans="1:6" ht="15.75" x14ac:dyDescent="0.25">
      <c r="A8" s="25" t="s">
        <v>24</v>
      </c>
      <c r="B8" s="26">
        <v>90</v>
      </c>
    </row>
    <row r="9" spans="1:6" ht="15.75" x14ac:dyDescent="0.25">
      <c r="A9" s="25" t="s">
        <v>23</v>
      </c>
      <c r="B9" s="28">
        <f>SUM('Journal de travail'!C10:C577)</f>
        <v>26.543332999999997</v>
      </c>
    </row>
    <row r="10" spans="1:6" x14ac:dyDescent="0.25">
      <c r="A10" s="27" t="s">
        <v>25</v>
      </c>
      <c r="B10" s="27">
        <f>B9*100/B8</f>
        <v>29.492592222222221</v>
      </c>
    </row>
  </sheetData>
  <mergeCells count="6">
    <mergeCell ref="A1:F2"/>
    <mergeCell ref="B4:C4"/>
    <mergeCell ref="E4:F7"/>
    <mergeCell ref="B5:C5"/>
    <mergeCell ref="B6:C6"/>
    <mergeCell ref="B7:C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7"/>
  <sheetViews>
    <sheetView workbookViewId="0">
      <selection activeCell="E33" sqref="E33"/>
    </sheetView>
  </sheetViews>
  <sheetFormatPr baseColWidth="10" defaultColWidth="11.42578125" defaultRowHeight="15" x14ac:dyDescent="0.25"/>
  <cols>
    <col min="1" max="1" width="13.140625" bestFit="1" customWidth="1"/>
  </cols>
  <sheetData>
    <row r="1" spans="1:1" x14ac:dyDescent="0.25">
      <c r="A1" s="2" t="s">
        <v>7</v>
      </c>
    </row>
    <row r="2" spans="1:1" x14ac:dyDescent="0.25">
      <c r="A2" s="1" t="s">
        <v>6</v>
      </c>
    </row>
    <row r="3" spans="1:1" x14ac:dyDescent="0.25">
      <c r="A3" s="1" t="s">
        <v>8</v>
      </c>
    </row>
    <row r="4" spans="1:1" x14ac:dyDescent="0.25">
      <c r="A4" s="1" t="s">
        <v>9</v>
      </c>
    </row>
    <row r="5" spans="1:1" x14ac:dyDescent="0.25">
      <c r="A5" s="1" t="s">
        <v>10</v>
      </c>
    </row>
    <row r="6" spans="1:1" x14ac:dyDescent="0.25">
      <c r="A6" s="1" t="s">
        <v>11</v>
      </c>
    </row>
    <row r="7" spans="1:1" x14ac:dyDescent="0.25">
      <c r="A7" s="1" t="s">
        <v>12</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7" ma:contentTypeDescription="Crée un document." ma:contentTypeScope="" ma:versionID="03e14c2536b56bc7dd47f79481c7176c">
  <xsd:schema xmlns:xsd="http://www.w3.org/2001/XMLSchema" xmlns:xs="http://www.w3.org/2001/XMLSchema" xmlns:p="http://schemas.microsoft.com/office/2006/metadata/properties" xmlns:ns2="0119da2b-60ce-4773-88fa-ebab2cde1f55" xmlns:ns3="c00db93e-a012-41a1-8dae-1f2fb8b40d56" targetNamespace="http://schemas.microsoft.com/office/2006/metadata/properties" ma:root="true" ma:fieldsID="5b7050275a68257b53998f6363dd12a8" ns2:_="" ns3:_="">
    <xsd:import namespace="0119da2b-60ce-4773-88fa-ebab2cde1f55"/>
    <xsd:import namespace="c00db93e-a012-41a1-8dae-1f2fb8b40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00db93e-a012-41a1-8dae-1f2fb8b40d5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FF8A9A8-A00A-4ABC-BBD7-3D54D09AED55}">
  <ds:schemaRefs>
    <ds:schemaRef ds:uri="0119da2b-60ce-4773-88fa-ebab2cde1f55"/>
    <ds:schemaRef ds:uri="http://schemas.microsoft.com/office/2006/documentManagement/types"/>
    <ds:schemaRef ds:uri="http://purl.org/dc/elements/1.1/"/>
    <ds:schemaRef ds:uri="http://schemas.microsoft.com/office/infopath/2007/PartnerControls"/>
    <ds:schemaRef ds:uri="http://purl.org/dc/dcmitype/"/>
    <ds:schemaRef ds:uri="http://purl.org/dc/terms/"/>
    <ds:schemaRef ds:uri="http://schemas.openxmlformats.org/package/2006/metadata/core-properties"/>
    <ds:schemaRef ds:uri="c00db93e-a012-41a1-8dae-1f2fb8b40d56"/>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FFD78DB3-3C09-4B83-8502-3F07A10F4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c00db93e-a012-41a1-8dae-1f2fb8b40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152F1D8-BC39-43C0-AFD5-9D59D80C8BC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Journal de travail</vt:lpstr>
      <vt:lpstr>Journal de board</vt:lpstr>
      <vt:lpstr>Calculs</vt:lpstr>
      <vt:lpstr>Paramètres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2023-05-09T14:05:23Z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
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6E206F59-B298-4366-9A82-9B87F59B824A}"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9" i="7"/>
  <c r="B11" i="1"/>
  <c r="B13" i="1"/>
  <c r="B14" i="1"/>
  <c r="B15" i="1"/>
  <c r="B16" i="1"/>
  <c r="B17" i="1"/>
  <c r="B19" i="1"/>
  <c r="B20" i="1"/>
  <c r="B21" i="1"/>
  <c r="B22" i="1"/>
  <c r="B23" i="1"/>
  <c r="B10" i="8"/>
  <c r="B9" i="8"/>
  <c r="B24" i="1"/>
  <c r="B26" i="1"/>
  <c r="B27" i="1"/>
  <c r="B28" i="1"/>
  <c r="B29" i="1"/>
  <c r="B30" i="1"/>
  <c r="B31" i="1"/>
  <c r="B32" i="1"/>
  <c r="B33" i="1"/>
  <c r="B34" i="1"/>
  <c r="B38" i="1"/>
  <c r="B35" i="1"/>
  <c r="B36" i="1"/>
  <c r="B37" i="1"/>
  <c r="B40" i="1"/>
  <c r="B41" i="1" l="1"/>
  <c r="B10" i="7"/>
  <c r="B42" i="1"/>
  <c r="B43" i="1"/>
  <c r="B44" i="1"/>
  <c r="B45" i="1"/>
  <c r="B46" i="1"/>
  <c r="B47" i="1"/>
  <c r="B48" i="1"/>
  <c r="B49" i="1"/>
  <c r="B50" i="1"/>
  <c r="B51" i="1"/>
  <c r="B52" i="1"/>
  <c r="B12" i="8"/>
  <c r="B11" i="8"/>
  <c r="B53" i="1"/>
  <c r="B54" i="1"/>
  <c r="B55" i="1"/>
</calcChain>
</file>

<file path=xl/sharedStrings.xml><?xml version="1.0" encoding="utf-8"?>
<sst xmlns="http://schemas.openxmlformats.org/spreadsheetml/2006/main" count="162" uniqueCount="86">
  <si>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</si>
  <si>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</si>
  <si>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</si>
  <si>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</si>
  <si>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</si>
  <si>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</si>
  <si>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</si>
  <si>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</si>
  <si>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</si>
  <si>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</si>
  <si>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</si>
  <si>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</si>
  <si>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</si>
  <si>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</si>
  <si>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</si>
  <si>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</si>
  <si>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</si>
  <si>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</si>
  <si>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</si>
  <si>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</si>
  <si>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</si>
  <si>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</si>
  <si>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</si>
  <si>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</si>
  <si>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</si>
  <si>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</si>
  <si>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</si>
  <si>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</si>
  <si>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</si>
  <si>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</si>
  <si>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</si>
  <si>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</si>
  <si>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</si>
  <si>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</si>
  <si>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</si>
  <si>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</si>
  <si>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</si>
  <si>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</si>
  <si>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</si>
  <si>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</si>
  <si>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</si>
  <si>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</si>
  <si>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</si>
  <si>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</si>
  <si>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</si>
  <si>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</si>
  <si>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</si>
  <si>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</si>
  <si>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</si>
  <si>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</si>
  <si>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</si>
  <si>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</si>
  <si>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</si>
  <si>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</si>
  <si>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</si>
  <si>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</si>
  <si>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</si>
  <si>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</si>
  <si>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</si>
  <si>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</si>
  <si>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</si>
  <si>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</si>
  <si>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</si>
  <si>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</si>
  <si>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</si>
  <si>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</si>
  <si>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</si>
  <si>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</si>
  <si>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</si>
  <si>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</si>
  <si>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</si>
  <si>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</si>
  <si>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</si>
  <si>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</si>
  <si>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</si>
  <si>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</si>
  <si>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</si>
  <si>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</si>
  <si>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</si>
  <si>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</si>
  <si>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</si>
  <si>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</si>
  <si>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</si>
  <si>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</si>
  <si>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Ajout du visuel des orbites autour du soleil.</t>
  </si>
  <si>
    <t xml:space="preserve">debugging de l'orbit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</si>
</sst>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69"/>
  <sheetViews>
    <sheetView tabSelected="1" zoomScaleNormal="100"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5" t="s">
        <v>13</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45062</v>
      </c>
      <c r="B9" s="16">
        <f t="shared" ref="B9" si="0">WEEKNUM(A9)</f>
        <v>20</v>
      </c>
      <c r="C9" s="9">
        <v>0</v>
      </c>
      <c r="D9" s="29" t="s">
        <v>6</v>
      </c>
      <c r="E9" s="11"/>
      <c r="F9" s="11"/>
      <c r="I9" s="12"/>
    </row>
    <row r="10" spans="1:9" x14ac:dyDescent="0.25">
      <c r="A10" s="4">
        <v>45062</v>
      </c>
      <c r="B10" s="16">
        <f t="shared" ref="B10" si="1">WEEKNUM(A10)</f>
        <v>20</v>
      </c>
      <c r="C10" s="9">
        <v>4</v>
      </c>
      <c r="D10" s="29" t="s">
        <v>8</v>
      </c>
      <c r="E10" s="11" t="s">
        <v>85</v>
      </c>
      <c r="F10" s="11"/>
      <c r="I10" s="12"/>
    </row>
    <row r="11" spans="1:9" x14ac:dyDescent="0.25">
      <c r="A11" s="4">
        <v>45062</v>
      </c>
      <c r="B11" s="16">
        <f t="shared" ref="B11" si="2">WEEKNUM(A11)</f>
        <v>20</v>
      </c>
      <c r="C11" s="9">
        <v>3</v>
      </c>
      <c r="D11" s="29" t="s">
        <v>8</v>
      </c>
      <c r="E11" s="11" t="s">
        <v>84</v>
      </c>
      <c r="F11" s="11"/>
      <c r="I11" s="12"/>
    </row>
    <row r="12" spans="1:9" x14ac:dyDescent="0.25">
      <c r="A12" s="30" t="s">
        <v>75</v>
      </c>
      <c r="B12" s="31"/>
      <c r="C12" s="31"/>
      <c r="D12" s="32"/>
      <c r="E12" s="33" t="s">
        <v>76</v>
      </c>
      <c r="F12" s="34"/>
      <c r="I12" s="12"/>
    </row>
    <row r="13" spans="1:9" ht="30" x14ac:dyDescent="0.25">
      <c r="A13" s="4">
        <v>45062</v>
      </c>
      <c r="B13" s="16">
        <f t="shared" ref="B13" si="3">WEEKNUM(A13)</f>
        <v>20</v>
      </c>
      <c r="C13" s="9">
        <v>2.25</v>
      </c>
      <c r="D13" s="29" t="s">
        <v>8</v>
      </c>
      <c r="E13" s="11" t="s">
        <v>77</v>
      </c>
      <c r="F13" s="11"/>
      <c r="I13" s="12"/>
    </row>
    <row r="14" spans="1:9" ht="30" x14ac:dyDescent="0.25">
      <c r="A14" s="4">
        <v>45062</v>
      </c>
      <c r="B14" s="16">
        <f t="shared" ref="B14" si="4">WEEKNUM(A14)</f>
        <v>20</v>
      </c>
      <c r="C14" s="9">
        <v>0.25</v>
      </c>
      <c r="D14" s="29" t="s">
        <v>10</v>
      </c>
      <c r="E14" s="11" t="s">
        <v>78</v>
      </c>
      <c r="F14" s="11"/>
      <c r="I14" s="12"/>
    </row>
    <row r="15" spans="1:9" ht="30" x14ac:dyDescent="0.25">
      <c r="A15" s="4">
        <v>45062</v>
      </c>
      <c r="B15" s="16">
        <f t="shared" ref="B15" si="5">WEEKNUM(A15)</f>
        <v>20</v>
      </c>
      <c r="C15" s="9">
        <v>1.5</v>
      </c>
      <c r="D15" s="29" t="s">
        <v>8</v>
      </c>
      <c r="E15" s="11" t="s">
        <v>79</v>
      </c>
      <c r="F15" s="11" t="s">
        <v>83</v>
      </c>
      <c r="I15" s="12"/>
    </row>
    <row r="16" spans="1:9" ht="30" x14ac:dyDescent="0.25">
      <c r="A16" s="4">
        <v>45062</v>
      </c>
      <c r="B16" s="16">
        <f t="shared" ref="B16" si="6">WEEKNUM(A16)</f>
        <v>20</v>
      </c>
      <c r="C16" s="9">
        <v>0.5</v>
      </c>
      <c r="D16" s="29" t="s">
        <v>6</v>
      </c>
      <c r="E16" s="11" t="s">
        <v>80</v>
      </c>
      <c r="F16" s="11" t="s">
        <v>82</v>
      </c>
      <c r="I16" s="12"/>
    </row>
    <row r="17" spans="1:9" ht="30" x14ac:dyDescent="0.25">
      <c r="A17" s="4">
        <v>45062</v>
      </c>
      <c r="B17" s="16">
        <f t="shared" ref="B17" si="7">WEEKNUM(A17)</f>
        <v>20</v>
      </c>
      <c r="C17" s="9">
        <v>0.75</v>
      </c>
      <c r="D17" s="29" t="s">
        <v>74</v>
      </c>
      <c r="E17" s="11" t="s">
        <v>81</v>
      </c>
      <c r="F17" s="11"/>
      <c r="I17" s="12"/>
    </row>
    <row r="18" spans="1:9" ht="34.5" customHeight="1" x14ac:dyDescent="0.25">
      <c r="A18" s="30" t="s">
        <v>72</v>
      </c>
      <c r="B18" s="31"/>
      <c r="C18" s="31"/>
      <c r="D18" s="32"/>
      <c r="E18" s="33" t="s">
        <v>73</v>
      </c>
      <c r="F18" s="34"/>
      <c r="I18" s="12"/>
    </row>
    <row r="19" spans="1:9" x14ac:dyDescent="0.25">
      <c r="A19" s="4">
        <v>45061</v>
      </c>
      <c r="B19" s="16">
        <f t="shared" ref="B19" si="8">WEEKNUM(A19)</f>
        <v>20</v>
      </c>
      <c r="C19" s="9">
        <v>0.25</v>
      </c>
      <c r="D19" s="29" t="s">
        <v>10</v>
      </c>
      <c r="E19" s="11" t="s">
        <v>70</v>
      </c>
      <c r="F19" s="11"/>
      <c r="I19" s="12"/>
    </row>
    <row r="20" spans="1:9" ht="45" x14ac:dyDescent="0.25">
      <c r="A20" s="4">
        <v>45061</v>
      </c>
      <c r="B20" s="16">
        <f t="shared" ref="B20" si="9">WEEKNUM(A20)</f>
        <v>20</v>
      </c>
      <c r="C20" s="9">
        <v>2.75</v>
      </c>
      <c r="D20" s="29" t="s">
        <v>8</v>
      </c>
      <c r="E20" s="11" t="s">
        <v>71</v>
      </c>
      <c r="F20" s="11"/>
      <c r="I20" s="12"/>
    </row>
    <row r="21" spans="1:9" x14ac:dyDescent="0.25">
      <c r="A21" s="4">
        <v>45061</v>
      </c>
      <c r="B21" s="16">
        <f t="shared" ref="B21" si="10">WEEKNUM(A21)</f>
        <v>20</v>
      </c>
      <c r="C21" s="9">
        <v>0.75</v>
      </c>
      <c r="D21" s="29" t="s">
        <v>8</v>
      </c>
      <c r="E21" s="11" t="s">
        <v>65</v>
      </c>
      <c r="F21" s="11"/>
      <c r="I21" s="12"/>
    </row>
    <row r="22" spans="1:9" ht="60" x14ac:dyDescent="0.25">
      <c r="A22" s="4">
        <v>45061</v>
      </c>
      <c r="B22" s="16">
        <f t="shared" ref="B22" si="11">WEEKNUM(A22)</f>
        <v>20</v>
      </c>
      <c r="C22" s="9">
        <v>2.25</v>
      </c>
      <c r="D22" s="29" t="s">
        <v>6</v>
      </c>
      <c r="E22" s="11" t="s">
        <v>62</v>
      </c>
      <c r="F22" s="11"/>
      <c r="I22" s="12"/>
    </row>
    <row r="23" spans="1:9" ht="30" x14ac:dyDescent="0.25">
      <c r="A23" s="4">
        <v>45061</v>
      </c>
      <c r="B23" s="16">
        <f t="shared" ref="B23" si="12">WEEKNUM(A23)</f>
        <v>20</v>
      </c>
      <c r="C23" s="9">
        <v>1</v>
      </c>
      <c r="D23" s="29" t="s">
        <v>10</v>
      </c>
      <c r="E23" s="11" t="s">
        <v>63</v>
      </c>
      <c r="F23" s="11"/>
      <c r="I23" s="12"/>
    </row>
    <row r="24" spans="1:9" ht="30" x14ac:dyDescent="0.25">
      <c r="A24" s="4">
        <v>45061</v>
      </c>
      <c r="B24" s="16">
        <f t="shared" ref="B24" si="13">WEEKNUM(A24)</f>
        <v>20</v>
      </c>
      <c r="C24" s="9">
        <v>0.5</v>
      </c>
      <c r="D24" s="29" t="s">
        <v>12</v>
      </c>
      <c r="E24" s="11" t="s">
        <v>64</v>
      </c>
      <c r="F24" s="11"/>
      <c r="I24" s="12"/>
    </row>
    <row r="25" spans="1:9" ht="65.25" customHeight="1" x14ac:dyDescent="0.25">
      <c r="A25" s="30" t="s">
        <v>68</v>
      </c>
      <c r="B25" s="31"/>
      <c r="C25" s="31"/>
      <c r="D25" s="32"/>
      <c r="E25" s="33" t="s">
        <v>67</v>
      </c>
      <c r="F25" s="34"/>
      <c r="I25" s="12"/>
    </row>
    <row r="26" spans="1:9" x14ac:dyDescent="0.25">
      <c r="A26" s="4">
        <v>45058</v>
      </c>
      <c r="B26" s="16">
        <f t="shared" ref="B26" si="14">WEEKNUM(A26)</f>
        <v>19</v>
      </c>
      <c r="C26" s="9">
        <v>0.5</v>
      </c>
      <c r="D26" s="29" t="s">
        <v>12</v>
      </c>
      <c r="E26" s="11" t="s">
        <v>61</v>
      </c>
      <c r="F26" s="11"/>
      <c r="I26" s="12"/>
    </row>
    <row r="27" spans="1:9" ht="30" x14ac:dyDescent="0.25">
      <c r="A27" s="4">
        <v>45058</v>
      </c>
      <c r="B27" s="16">
        <f t="shared" ref="B27" si="15">WEEKNUM(A27)</f>
        <v>19</v>
      </c>
      <c r="C27" s="9">
        <v>2.5</v>
      </c>
      <c r="D27" s="29" t="s">
        <v>10</v>
      </c>
      <c r="E27" s="11" t="s">
        <v>59</v>
      </c>
      <c r="F27" s="11"/>
      <c r="I27" s="12"/>
    </row>
    <row r="28" spans="1:9" ht="30" x14ac:dyDescent="0.25">
      <c r="A28" s="4">
        <v>45058</v>
      </c>
      <c r="B28" s="16">
        <f t="shared" ref="B28" si="16">WEEKNUM(A28)</f>
        <v>19</v>
      </c>
      <c r="C28" s="9">
        <v>2.25</v>
      </c>
      <c r="D28" s="29" t="s">
        <v>9</v>
      </c>
      <c r="E28" s="11" t="s">
        <v>60</v>
      </c>
      <c r="F28" s="11"/>
      <c r="I28" s="12"/>
    </row>
    <row r="29" spans="1:9" ht="60" x14ac:dyDescent="0.25">
      <c r="A29" s="4">
        <v>45057</v>
      </c>
      <c r="B29" s="16">
        <f t="shared" ref="B29" si="17">WEEKNUM(A29)</f>
        <v>19</v>
      </c>
      <c r="C29" s="9">
        <v>3</v>
      </c>
      <c r="D29" s="29" t="s">
        <v>8</v>
      </c>
      <c r="E29" s="11" t="s">
        <v>58</v>
      </c>
      <c r="F29" s="11"/>
      <c r="I29" s="12"/>
    </row>
    <row r="30" spans="1:9" x14ac:dyDescent="0.25">
      <c r="A30" s="4">
        <v>45057</v>
      </c>
      <c r="B30" s="16">
        <f t="shared" ref="B30" si="18">WEEKNUM(A30)</f>
        <v>19</v>
      </c>
      <c r="C30" s="9">
        <v>3</v>
      </c>
      <c r="D30" s="29" t="s">
        <v>9</v>
      </c>
      <c r="E30" s="11" t="s">
        <v>57</v>
      </c>
      <c r="F30" s="11"/>
      <c r="I30" s="12"/>
    </row>
    <row r="31" spans="1:9" x14ac:dyDescent="0.25">
      <c r="A31" s="4">
        <v>45055</v>
      </c>
      <c r="B31" s="16">
        <f t="shared" ref="B31" si="19">WEEKNUM(A31)</f>
        <v>19</v>
      </c>
      <c r="C31" s="9">
        <v>0.75</v>
      </c>
      <c r="D31" s="29" t="s">
        <v>8</v>
      </c>
      <c r="E31" s="11" t="s">
        <v>56</v>
      </c>
      <c r="F31" s="11"/>
      <c r="I31" s="12"/>
    </row>
    <row r="32" spans="1:9" ht="30" x14ac:dyDescent="0.25">
      <c r="A32" s="4">
        <v>45055</v>
      </c>
      <c r="B32" s="16">
        <f t="shared" ref="B32" si="20">WEEKNUM(A32)</f>
        <v>19</v>
      </c>
      <c r="C32" s="9">
        <v>1</v>
      </c>
      <c r="D32" s="29" t="s">
        <v>6</v>
      </c>
      <c r="E32" s="11" t="s">
        <v>49</v>
      </c>
      <c r="F32" s="11"/>
      <c r="I32" s="12"/>
    </row>
    <row r="33" spans="1:9" ht="30" x14ac:dyDescent="0.25">
      <c r="A33" s="4">
        <v>45055</v>
      </c>
      <c r="B33" s="16">
        <f t="shared" ref="B33" si="21">WEEKNUM(A33)</f>
        <v>19</v>
      </c>
      <c r="C33" s="9">
        <v>0.75</v>
      </c>
      <c r="D33" s="29" t="s">
        <v>10</v>
      </c>
      <c r="E33" s="11" t="s">
        <v>50</v>
      </c>
      <c r="F33" s="11"/>
      <c r="I33" s="12"/>
    </row>
    <row r="34" spans="1:9" ht="45" x14ac:dyDescent="0.25">
      <c r="A34" s="4">
        <v>45055</v>
      </c>
      <c r="B34" s="16">
        <f t="shared" ref="B34" si="22">WEEKNUM(A34)</f>
        <v>19</v>
      </c>
      <c r="C34" s="9">
        <v>1.5</v>
      </c>
      <c r="D34" s="29" t="s">
        <v>8</v>
      </c>
      <c r="E34" s="11" t="s">
        <v>51</v>
      </c>
      <c r="F34" s="11"/>
      <c r="I34" s="12"/>
    </row>
    <row r="35" spans="1:9" ht="30" x14ac:dyDescent="0.25">
      <c r="A35" s="4">
        <v>45055</v>
      </c>
      <c r="B35" s="16">
        <f t="shared" ref="B35" si="23">WEEKNUM(A35)</f>
        <v>19</v>
      </c>
      <c r="C35" s="9">
        <v>0.75</v>
      </c>
      <c r="D35" s="29" t="s">
        <v>8</v>
      </c>
      <c r="E35" s="11" t="s">
        <v>52</v>
      </c>
      <c r="F35" s="11"/>
      <c r="I35" s="12"/>
    </row>
    <row r="36" spans="1:9" x14ac:dyDescent="0.25">
      <c r="A36" s="4">
        <v>45054</v>
      </c>
      <c r="B36" s="16">
        <f t="shared" ref="B36" si="24">WEEKNUM(A36)</f>
        <v>19</v>
      </c>
      <c r="C36" s="9">
        <v>1.3</v>
      </c>
      <c r="D36" s="29" t="s">
        <v>6</v>
      </c>
      <c r="E36" s="11" t="s">
        <v>48</v>
      </c>
      <c r="F36" s="11"/>
      <c r="I36" s="12"/>
    </row>
    <row r="37" spans="1:9" ht="75" x14ac:dyDescent="0.25">
      <c r="A37" s="4">
        <v>45054</v>
      </c>
      <c r="B37" s="16">
        <f t="shared" ref="B37" si="25">WEEKNUM(A37)</f>
        <v>19</v>
      </c>
      <c r="C37" s="9">
        <v>4.5</v>
      </c>
      <c r="D37" s="29" t="s">
        <v>6</v>
      </c>
      <c r="E37" s="11" t="s">
        <v>46</v>
      </c>
      <c r="F37" s="11" t="s">
        <v>47</v>
      </c>
      <c r="I37" s="12"/>
    </row>
    <row r="38" spans="1:9" x14ac:dyDescent="0.25">
      <c r="A38" s="4">
        <v>45054</v>
      </c>
      <c r="B38" s="16">
        <f>WEEKNUM(A38)</f>
        <v>19</v>
      </c>
      <c r="C38" s="9">
        <v>0.45</v>
      </c>
      <c r="D38" s="29" t="s">
        <v>6</v>
      </c>
      <c r="E38" s="11" t="s">
        <v>45</v>
      </c>
      <c r="F38" s="11"/>
      <c r="I38" s="12"/>
    </row>
    <row r="39" spans="1:9" ht="62.25" customHeight="1" x14ac:dyDescent="0.25">
      <c r="A39" s="30" t="s">
        <v>69</v>
      </c>
      <c r="B39" s="31"/>
      <c r="C39" s="31"/>
      <c r="D39" s="32"/>
      <c r="E39" s="33" t="s">
        <v>66</v>
      </c>
      <c r="F39" s="34"/>
      <c r="I39" s="12"/>
    </row>
    <row r="40" spans="1:9" x14ac:dyDescent="0.25">
      <c r="A40" s="4">
        <v>45051</v>
      </c>
      <c r="B40" s="16">
        <f t="shared" ref="B40" si="26">WEEKNUM(A40)</f>
        <v>18</v>
      </c>
      <c r="C40" s="9">
        <v>1.25</v>
      </c>
      <c r="D40" s="29" t="s">
        <v>10</v>
      </c>
      <c r="E40" s="11" t="s">
        <v>44</v>
      </c>
      <c r="F40" s="11"/>
      <c r="I40" s="12"/>
    </row>
    <row r="41" spans="1:9" ht="30" x14ac:dyDescent="0.25">
      <c r="A41" s="4">
        <v>45051</v>
      </c>
      <c r="B41" s="16">
        <f t="shared" ref="B41" si="27">WEEKNUM(A41)</f>
        <v>18</v>
      </c>
      <c r="C41" s="9">
        <v>1.75</v>
      </c>
      <c r="D41" s="29" t="s">
        <v>6</v>
      </c>
      <c r="E41" s="11" t="s">
        <v>43</v>
      </c>
      <c r="F41" s="11"/>
      <c r="I41" s="12"/>
    </row>
    <row r="42" spans="1:9" ht="30" x14ac:dyDescent="0.25">
      <c r="A42" s="4">
        <v>45051</v>
      </c>
      <c r="B42" s="16">
        <f t="shared" ref="B42" si="28">WEEKNUM(A42)</f>
        <v>18</v>
      </c>
      <c r="C42" s="9">
        <v>0.75</v>
      </c>
      <c r="D42" s="29" t="s">
        <v>12</v>
      </c>
      <c r="E42" s="11" t="s">
        <v>40</v>
      </c>
      <c r="F42" s="11"/>
      <c r="I42" s="12"/>
    </row>
    <row r="43" spans="1:9" ht="60" x14ac:dyDescent="0.25">
      <c r="A43" s="4">
        <v>45051</v>
      </c>
      <c r="B43" s="16">
        <f t="shared" ref="B43" si="29">WEEKNUM(A43)</f>
        <v>18</v>
      </c>
      <c r="C43" s="9">
        <v>1.5</v>
      </c>
      <c r="D43" s="29" t="s">
        <v>8</v>
      </c>
      <c r="E43" s="11" t="s">
        <v>42</v>
      </c>
      <c r="F43" s="11" t="s">
        <v>41</v>
      </c>
      <c r="I43" s="12"/>
    </row>
    <row r="44" spans="1:9" x14ac:dyDescent="0.25">
      <c r="A44" s="4">
        <v>45050</v>
      </c>
      <c r="B44" s="16">
        <f t="shared" ref="B44" si="30">WEEKNUM(A44)</f>
        <v>18</v>
      </c>
      <c r="C44" s="9">
        <v>0.75</v>
      </c>
      <c r="D44" s="29" t="s">
        <v>6</v>
      </c>
      <c r="E44" s="11" t="s">
        <v>39</v>
      </c>
      <c r="F44" s="11"/>
      <c r="I44" s="12"/>
    </row>
    <row r="45" spans="1:9" x14ac:dyDescent="0.25">
      <c r="A45" s="4">
        <v>45050</v>
      </c>
      <c r="B45" s="16">
        <f t="shared" ref="B45" si="31">WEEKNUM(A45)</f>
        <v>18</v>
      </c>
      <c r="C45" s="9">
        <v>1.31</v>
      </c>
      <c r="D45" s="29" t="s">
        <v>8</v>
      </c>
      <c r="E45" s="11" t="s">
        <v>38</v>
      </c>
      <c r="F45" s="11"/>
      <c r="I45" s="12"/>
    </row>
    <row r="46" spans="1:9" x14ac:dyDescent="0.25">
      <c r="A46" s="4">
        <v>45050</v>
      </c>
      <c r="B46" s="16">
        <f t="shared" ref="B46" si="32">WEEKNUM(A46)</f>
        <v>18</v>
      </c>
      <c r="C46" s="9">
        <v>0.5</v>
      </c>
      <c r="D46" s="29" t="s">
        <v>10</v>
      </c>
      <c r="E46" s="11" t="s">
        <v>37</v>
      </c>
      <c r="F46" s="11"/>
      <c r="I46" s="12"/>
    </row>
    <row r="47" spans="1:9" ht="30" x14ac:dyDescent="0.25">
      <c r="A47" s="4">
        <v>45050</v>
      </c>
      <c r="B47" s="16">
        <f t="shared" ref="B47" si="33">WEEKNUM(A47)</f>
        <v>18</v>
      </c>
      <c r="C47" s="9">
        <v>1.5</v>
      </c>
      <c r="D47" s="29" t="s">
        <v>10</v>
      </c>
      <c r="E47" s="11" t="s">
        <v>36</v>
      </c>
      <c r="F47" s="11"/>
      <c r="I47" s="12"/>
    </row>
    <row r="48" spans="1:9" x14ac:dyDescent="0.25">
      <c r="A48" s="4">
        <v>45050</v>
      </c>
      <c r="B48" s="16">
        <f t="shared" ref="B48" si="34">WEEKNUM(A48)</f>
        <v>18</v>
      </c>
      <c r="C48" s="9">
        <v>0.5</v>
      </c>
      <c r="D48" s="29" t="s">
        <v>6</v>
      </c>
      <c r="E48" s="11" t="s">
        <v>35</v>
      </c>
      <c r="F48" s="11"/>
      <c r="I48" s="12"/>
    </row>
    <row r="49" spans="1:9" x14ac:dyDescent="0.25">
      <c r="A49" s="4">
        <v>45050</v>
      </c>
      <c r="B49" s="16">
        <f t="shared" ref="B49:B55" si="35">WEEKNUM(A49)</f>
        <v>18</v>
      </c>
      <c r="C49" s="9">
        <v>0.4</v>
      </c>
      <c r="D49" s="29" t="s">
        <v>6</v>
      </c>
      <c r="E49" s="11" t="s">
        <v>34</v>
      </c>
      <c r="F49" s="11"/>
      <c r="I49" s="12"/>
    </row>
    <row r="50" spans="1:9" ht="30" x14ac:dyDescent="0.25">
      <c r="A50" s="4">
        <v>45050</v>
      </c>
      <c r="B50" s="16">
        <f t="shared" si="35"/>
        <v>18</v>
      </c>
      <c r="C50" s="9">
        <v>0.25</v>
      </c>
      <c r="D50" s="29" t="s">
        <v>6</v>
      </c>
      <c r="E50" s="11" t="s">
        <v>33</v>
      </c>
      <c r="F50" s="11" t="s">
        <v>32</v>
      </c>
      <c r="I50" s="12"/>
    </row>
    <row r="51" spans="1:9" x14ac:dyDescent="0.25">
      <c r="A51" s="4">
        <v>45050</v>
      </c>
      <c r="B51" s="16">
        <f t="shared" si="35"/>
        <v>18</v>
      </c>
      <c r="C51" s="9">
        <v>0.5</v>
      </c>
      <c r="D51" s="29" t="s">
        <v>6</v>
      </c>
      <c r="E51" s="11" t="s">
        <v>31</v>
      </c>
      <c r="F51" s="11"/>
      <c r="I51" s="12"/>
    </row>
    <row r="52" spans="1:9" ht="30" x14ac:dyDescent="0.25">
      <c r="A52" s="4">
        <v>45050</v>
      </c>
      <c r="B52" s="16">
        <f t="shared" si="35"/>
        <v>18</v>
      </c>
      <c r="C52" s="9">
        <v>1.5</v>
      </c>
      <c r="D52" s="29" t="s">
        <v>6</v>
      </c>
      <c r="E52" s="11" t="s">
        <v>30</v>
      </c>
      <c r="F52" s="11"/>
      <c r="I52" s="12"/>
    </row>
    <row r="53" spans="1:9" ht="45" x14ac:dyDescent="0.25">
      <c r="A53" s="4">
        <v>45048</v>
      </c>
      <c r="B53" s="16">
        <f t="shared" si="35"/>
        <v>18</v>
      </c>
      <c r="C53" s="9">
        <v>2.25</v>
      </c>
      <c r="D53" s="29" t="s">
        <v>6</v>
      </c>
      <c r="E53" s="11" t="s">
        <v>29</v>
      </c>
      <c r="F53" s="11"/>
      <c r="I53" s="12"/>
    </row>
    <row r="54" spans="1:9" ht="45" x14ac:dyDescent="0.25">
      <c r="A54" s="4">
        <v>45048</v>
      </c>
      <c r="B54" s="16">
        <f t="shared" si="35"/>
        <v>18</v>
      </c>
      <c r="C54" s="9">
        <v>0.5</v>
      </c>
      <c r="D54" s="29" t="s">
        <v>12</v>
      </c>
      <c r="E54" s="11" t="s">
        <v>28</v>
      </c>
      <c r="F54" s="11"/>
      <c r="I54" s="12"/>
    </row>
    <row r="55" spans="1:9" x14ac:dyDescent="0.25">
      <c r="A55" s="4">
        <v>45048</v>
      </c>
      <c r="B55" s="16">
        <f t="shared" si="35"/>
        <v>18</v>
      </c>
      <c r="C55" s="9">
        <v>0.33333299999999999</v>
      </c>
      <c r="D55" s="29" t="s">
        <v>6</v>
      </c>
      <c r="E55" s="11" t="s">
        <v>27</v>
      </c>
      <c r="F55" s="11"/>
      <c r="I55" s="12"/>
    </row>
    <row r="56" spans="1:9" x14ac:dyDescent="0.25">
      <c r="A56" s="24"/>
      <c r="I56" s="12"/>
    </row>
    <row r="57" spans="1:9" x14ac:dyDescent="0.25">
      <c r="A57" s="24"/>
      <c r="I57" s="12"/>
    </row>
    <row r="58" spans="1:9" x14ac:dyDescent="0.25">
      <c r="A58" s="24"/>
      <c r="I58" s="12"/>
    </row>
    <row r="59" spans="1:9" x14ac:dyDescent="0.25">
      <c r="A59" s="24"/>
      <c r="I59" s="12"/>
    </row>
    <row r="60" spans="1:9" x14ac:dyDescent="0.25">
      <c r="A60" s="24"/>
      <c r="I60" s="12"/>
    </row>
    <row r="61" spans="1:9" x14ac:dyDescent="0.25">
      <c r="A61" s="24"/>
      <c r="I61" s="12"/>
    </row>
    <row r="62" spans="1:9" x14ac:dyDescent="0.25">
      <c r="A62" s="24"/>
      <c r="I62" s="12"/>
    </row>
    <row r="63" spans="1:9" x14ac:dyDescent="0.25">
      <c r="A63" s="24"/>
    </row>
    <row r="64" spans="1:9" x14ac:dyDescent="0.25">
      <c r="A64" s="24"/>
    </row>
    <row r="65" spans="1:1" x14ac:dyDescent="0.25">
      <c r="A65" s="24"/>
    </row>
    <row r="66" spans="1:1" x14ac:dyDescent="0.25">
      <c r="A66" s="24"/>
    </row>
    <row r="67" spans="1:1" x14ac:dyDescent="0.25">
      <c r="A67" s="24"/>
    </row>
    <row r="68" spans="1:1" x14ac:dyDescent="0.25">
      <c r="A68" s="24"/>
    </row>
    <row r="69" spans="1:1" x14ac:dyDescent="0.25">
      <c r="A69" s="24"/>
    </row>
  </sheetData>
  <sheetProtection selectLockedCells="1"/>
  <mergeCells count="13">
    <mergeCell ref="A39:D39"/>
    <mergeCell ref="E39:F39"/>
    <mergeCell ref="A25:D25"/>
    <mergeCell ref="E25:F25"/>
    <mergeCell ref="A1:F2"/>
    <mergeCell ref="B4:C4"/>
    <mergeCell ref="B5:C5"/>
    <mergeCell ref="B6:C6"/>
    <mergeCell ref="B7:C7"/>
    <mergeCell ref="A18:D18"/>
    <mergeCell ref="E18:F18"/>
    <mergeCell ref="A12:D12"/>
    <mergeCell ref="E12:F12"/>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D40:D69 D26:D38 D19:D24 D9:D11 D13:D17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5" t="s">
        <v>26</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t="s">
        <v>21</v>
      </c>
      <c r="I10" s="12"/>
    </row>
    <row r="11" spans="1:9" ht="45" x14ac:dyDescent="0.25">
      <c r="A11" s="4">
        <v>45054</v>
      </c>
      <c r="B11" s="16">
        <f>WEEKNUM(A11)</f>
        <v>19</v>
      </c>
      <c r="C11" s="9">
        <v>0.5</v>
      </c>
      <c r="D11" s="10" t="s">
        <v>12</v>
      </c>
      <c r="E11" s="11" t="s">
        <v>53</v>
      </c>
      <c r="F11" s="11" t="s">
        <v>21</v>
      </c>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10" sqref="B10"/>
    </sheetView>
  </sheetViews>
  <sheetFormatPr baseColWidth="10" defaultRowHeight="15" x14ac:dyDescent="0.25"/>
  <cols>
    <col min="1" max="1" width="26.7109375" customWidth="1"/>
    <col min="6" max="6" width="51.85546875" customWidth="1"/>
  </cols>
  <sheetData>
    <row r="1" spans="1:6" x14ac:dyDescent="0.25">
      <c r="A1" s="35" t="s">
        <v>22</v>
      </c>
      <c r="B1" s="35"/>
      <c r="C1" s="35"/>
      <c r="D1" s="35"/>
      <c r="E1" s="35"/>
      <c r="F1" s="35"/>
    </row>
    <row r="2" spans="1:6" x14ac:dyDescent="0.25">
      <c r="A2" s="35"/>
      <c r="B2" s="35"/>
      <c r="C2" s="35"/>
      <c r="D2" s="35"/>
      <c r="E2" s="35"/>
      <c r="F2" s="35"/>
    </row>
    <row r="3" spans="1:6" ht="20.25" customHeight="1" x14ac:dyDescent="0.25">
      <c r="A3" s="18" t="s">
        <v>14</v>
      </c>
      <c r="B3" s="19" t="s">
        <v>15</v>
      </c>
      <c r="C3" s="20"/>
      <c r="D3" s="20"/>
      <c r="E3" s="20"/>
      <c r="F3" s="20"/>
    </row>
    <row r="4" spans="1:6" ht="15.75" x14ac:dyDescent="0.25">
      <c r="A4" s="21" t="s">
        <v>16</v>
      </c>
      <c r="B4" s="36" t="s">
        <v>17</v>
      </c>
      <c r="C4" s="36"/>
      <c r="D4" s="22"/>
      <c r="E4" s="37"/>
      <c r="F4" s="37"/>
    </row>
    <row r="5" spans="1:6" ht="15.75" x14ac:dyDescent="0.25">
      <c r="A5" s="21" t="s">
        <v>18</v>
      </c>
      <c r="B5" s="36" t="s">
        <v>19</v>
      </c>
      <c r="C5" s="36"/>
      <c r="D5" s="22"/>
      <c r="E5" s="37"/>
      <c r="F5" s="37"/>
    </row>
    <row r="6" spans="1:6" ht="15.75" x14ac:dyDescent="0.25">
      <c r="A6" s="21" t="s">
        <v>20</v>
      </c>
      <c r="B6" s="36" t="s">
        <v>54</v>
      </c>
      <c r="C6" s="36"/>
      <c r="D6" s="22"/>
      <c r="E6" s="37"/>
      <c r="F6" s="37"/>
    </row>
    <row r="7" spans="1:6" ht="15.75" x14ac:dyDescent="0.25">
      <c r="A7" s="23"/>
      <c r="B7" s="36" t="s">
        <v>55</v>
      </c>
      <c r="C7" s="36"/>
      <c r="D7" s="22"/>
      <c r="E7" s="37"/>
      <c r="F7" s="37"/>
    </row>
    <row r="8" spans="1:6" ht="15.75" x14ac:dyDescent="0.25">
      <c r="A8" s="25" t="s">
        <v>24</v>
      </c>
      <c r="B8" s="26">
        <v>90</v>
      </c>
    </row>
    <row r="9" spans="1:6" ht="15.75" x14ac:dyDescent="0.25">
      <c r="A9" s="25" t="s">
        <v>23</v>
      </c>
      <c r="B9" s="28">
        <f>SUM('Journal de travail'!C1:C599)</f>
        <v>57.543333000000004</v>
      </c>
    </row>
    <row r="10" spans="1:6" x14ac:dyDescent="0.25">
      <c r="A10" s="27" t="s">
        <v>25</v>
      </c>
      <c r="B10" s="27">
        <f>B9*100/B8</f>
        <v>63.937036666666671</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2023-05-22T14:54:25Z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